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0.1\"/>
    </mc:Choice>
  </mc:AlternateContent>
  <xr:revisionPtr revIDLastSave="0" documentId="13_ncr:1_{73799007-ECDA-44A8-BBA4-44EE715C0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Scheduled Commercial bank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7" i="1" l="1"/>
  <c r="Y117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Z116" i="1" s="1"/>
  <c r="U3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6" i="1"/>
  <c r="T7" i="1"/>
  <c r="T8" i="1"/>
  <c r="T5" i="1"/>
  <c r="T4" i="1"/>
  <c r="T3" i="1"/>
  <c r="Y110" i="1" l="1"/>
  <c r="Y98" i="1"/>
  <c r="Y109" i="1"/>
  <c r="Z114" i="1"/>
  <c r="Y50" i="1"/>
  <c r="Z85" i="1"/>
  <c r="Z25" i="1"/>
  <c r="Z108" i="1"/>
  <c r="Z84" i="1"/>
  <c r="Z60" i="1"/>
  <c r="Z36" i="1"/>
  <c r="Z24" i="1"/>
  <c r="Z107" i="1"/>
  <c r="Z95" i="1"/>
  <c r="Z71" i="1"/>
  <c r="Z47" i="1"/>
  <c r="Z23" i="1"/>
  <c r="Z106" i="1"/>
  <c r="Y94" i="1"/>
  <c r="Y82" i="1"/>
  <c r="Y70" i="1"/>
  <c r="Z58" i="1"/>
  <c r="Y46" i="1"/>
  <c r="Y34" i="1"/>
  <c r="Y22" i="1"/>
  <c r="Z10" i="1"/>
  <c r="Y26" i="1"/>
  <c r="Z73" i="1"/>
  <c r="Z13" i="1"/>
  <c r="Z96" i="1"/>
  <c r="Z72" i="1"/>
  <c r="Z48" i="1"/>
  <c r="Z12" i="1"/>
  <c r="Z83" i="1"/>
  <c r="Z59" i="1"/>
  <c r="Z35" i="1"/>
  <c r="Z11" i="1"/>
  <c r="Y105" i="1"/>
  <c r="Z93" i="1"/>
  <c r="Y81" i="1"/>
  <c r="Y69" i="1"/>
  <c r="Z57" i="1"/>
  <c r="Y36" i="1"/>
  <c r="Y33" i="1"/>
  <c r="Z21" i="1"/>
  <c r="Z9" i="1"/>
  <c r="Y38" i="1"/>
  <c r="Z61" i="1"/>
  <c r="Y92" i="1"/>
  <c r="Y20" i="1"/>
  <c r="Y86" i="1"/>
  <c r="Y14" i="1"/>
  <c r="Y104" i="1"/>
  <c r="Y80" i="1"/>
  <c r="Y68" i="1"/>
  <c r="Y56" i="1"/>
  <c r="Y44" i="1"/>
  <c r="Y32" i="1"/>
  <c r="Y8" i="1"/>
  <c r="Y115" i="1"/>
  <c r="Y103" i="1"/>
  <c r="Y91" i="1"/>
  <c r="Y79" i="1"/>
  <c r="Y67" i="1"/>
  <c r="Y55" i="1"/>
  <c r="Y43" i="1"/>
  <c r="Y31" i="1"/>
  <c r="Y19" i="1"/>
  <c r="Y7" i="1"/>
  <c r="Y74" i="1"/>
  <c r="Z97" i="1"/>
  <c r="Z49" i="1"/>
  <c r="Z90" i="1"/>
  <c r="Y66" i="1"/>
  <c r="Z42" i="1"/>
  <c r="Y18" i="1"/>
  <c r="Z101" i="1"/>
  <c r="Z77" i="1"/>
  <c r="Z53" i="1"/>
  <c r="Z29" i="1"/>
  <c r="Z5" i="1"/>
  <c r="Z112" i="1"/>
  <c r="Z100" i="1"/>
  <c r="Z88" i="1"/>
  <c r="Z76" i="1"/>
  <c r="Z64" i="1"/>
  <c r="Z52" i="1"/>
  <c r="Z40" i="1"/>
  <c r="Z28" i="1"/>
  <c r="Z16" i="1"/>
  <c r="Z4" i="1"/>
  <c r="Y108" i="1"/>
  <c r="Y62" i="1"/>
  <c r="Z109" i="1"/>
  <c r="Z37" i="1"/>
  <c r="Y102" i="1"/>
  <c r="Z78" i="1"/>
  <c r="Z54" i="1"/>
  <c r="Y30" i="1"/>
  <c r="Z6" i="1"/>
  <c r="Z113" i="1"/>
  <c r="Z89" i="1"/>
  <c r="Z65" i="1"/>
  <c r="Z41" i="1"/>
  <c r="Z17" i="1"/>
  <c r="Y111" i="1"/>
  <c r="Y99" i="1"/>
  <c r="Y87" i="1"/>
  <c r="Y75" i="1"/>
  <c r="Y63" i="1"/>
  <c r="Y51" i="1"/>
  <c r="Y39" i="1"/>
  <c r="Y27" i="1"/>
  <c r="Y15" i="1"/>
  <c r="Y3" i="1"/>
  <c r="Y73" i="1"/>
  <c r="Y13" i="1"/>
  <c r="Z46" i="1"/>
  <c r="Y60" i="1"/>
  <c r="Y12" i="1"/>
  <c r="Z33" i="1"/>
  <c r="Y71" i="1"/>
  <c r="Y23" i="1"/>
  <c r="Z92" i="1"/>
  <c r="Z68" i="1"/>
  <c r="Z20" i="1"/>
  <c r="Y106" i="1"/>
  <c r="Y58" i="1"/>
  <c r="Y10" i="1"/>
  <c r="Z79" i="1"/>
  <c r="Z31" i="1"/>
  <c r="Y93" i="1"/>
  <c r="Y57" i="1"/>
  <c r="Y21" i="1"/>
  <c r="Z102" i="1"/>
  <c r="Z66" i="1"/>
  <c r="Z30" i="1"/>
  <c r="Y114" i="1"/>
  <c r="Y90" i="1"/>
  <c r="Y54" i="1"/>
  <c r="Y6" i="1"/>
  <c r="Z99" i="1"/>
  <c r="Z75" i="1"/>
  <c r="Z39" i="1"/>
  <c r="Z15" i="1"/>
  <c r="Y113" i="1"/>
  <c r="Y101" i="1"/>
  <c r="Y89" i="1"/>
  <c r="Y77" i="1"/>
  <c r="Y65" i="1"/>
  <c r="Y53" i="1"/>
  <c r="Y41" i="1"/>
  <c r="Y29" i="1"/>
  <c r="Y17" i="1"/>
  <c r="Y5" i="1"/>
  <c r="Z110" i="1"/>
  <c r="Z98" i="1"/>
  <c r="Z86" i="1"/>
  <c r="Z74" i="1"/>
  <c r="Z62" i="1"/>
  <c r="Z50" i="1"/>
  <c r="Z38" i="1"/>
  <c r="Z26" i="1"/>
  <c r="Z14" i="1"/>
  <c r="Y85" i="1"/>
  <c r="Y37" i="1"/>
  <c r="Z94" i="1"/>
  <c r="Z34" i="1"/>
  <c r="Y72" i="1"/>
  <c r="Y24" i="1"/>
  <c r="Z81" i="1"/>
  <c r="Z45" i="1"/>
  <c r="Y59" i="1"/>
  <c r="Y11" i="1"/>
  <c r="Z80" i="1"/>
  <c r="Z32" i="1"/>
  <c r="Z115" i="1"/>
  <c r="Z91" i="1"/>
  <c r="Z67" i="1"/>
  <c r="Z19" i="1"/>
  <c r="Y45" i="1"/>
  <c r="Y9" i="1"/>
  <c r="Z18" i="1"/>
  <c r="Y78" i="1"/>
  <c r="Y42" i="1"/>
  <c r="Z111" i="1"/>
  <c r="Z87" i="1"/>
  <c r="Z63" i="1"/>
  <c r="Z51" i="1"/>
  <c r="Z27" i="1"/>
  <c r="Y112" i="1"/>
  <c r="Y100" i="1"/>
  <c r="Y88" i="1"/>
  <c r="Y76" i="1"/>
  <c r="Y64" i="1"/>
  <c r="Y52" i="1"/>
  <c r="Y40" i="1"/>
  <c r="Y28" i="1"/>
  <c r="Y16" i="1"/>
  <c r="Y4" i="1"/>
  <c r="Y61" i="1"/>
  <c r="Z3" i="1"/>
  <c r="Z82" i="1"/>
  <c r="Z22" i="1"/>
  <c r="Y84" i="1"/>
  <c r="Y48" i="1"/>
  <c r="Y95" i="1"/>
  <c r="Y35" i="1"/>
  <c r="Z104" i="1"/>
  <c r="Z44" i="1"/>
  <c r="Z55" i="1"/>
  <c r="Y116" i="1"/>
  <c r="Z8" i="1"/>
  <c r="Y97" i="1"/>
  <c r="Y25" i="1"/>
  <c r="Z70" i="1"/>
  <c r="Y96" i="1"/>
  <c r="Z105" i="1"/>
  <c r="Y107" i="1"/>
  <c r="Z7" i="1"/>
  <c r="Y49" i="1"/>
  <c r="Z69" i="1"/>
  <c r="Y83" i="1"/>
  <c r="Y47" i="1"/>
  <c r="Z56" i="1"/>
  <c r="Z103" i="1"/>
  <c r="Z43" i="1"/>
</calcChain>
</file>

<file path=xl/sharedStrings.xml><?xml version="1.0" encoding="utf-8"?>
<sst xmlns="http://schemas.openxmlformats.org/spreadsheetml/2006/main" count="32" uniqueCount="30">
  <si>
    <t>Demand Deposits</t>
  </si>
  <si>
    <t>Time Deposits</t>
  </si>
  <si>
    <t>Aggregate deposits (2+3)</t>
  </si>
  <si>
    <t>Aggregate deposits (2+3) (Adjusted)</t>
  </si>
  <si>
    <t>Liabilities to Banks</t>
  </si>
  <si>
    <t>Other demand and time liabilities</t>
  </si>
  <si>
    <t>Investments in Govt. securities</t>
  </si>
  <si>
    <t>Investments in other approved securities</t>
  </si>
  <si>
    <t>Investment In India(8+9)</t>
  </si>
  <si>
    <t>Investment In India(8+9) (Adjusted)</t>
  </si>
  <si>
    <t>Food credit</t>
  </si>
  <si>
    <t>Non - Food credit</t>
  </si>
  <si>
    <t>Bank Credit (11+12)</t>
  </si>
  <si>
    <t>Bank Credit (11+12) (Adjusted)</t>
  </si>
  <si>
    <t>Cash in hand</t>
  </si>
  <si>
    <t>Balances with RBI</t>
  </si>
  <si>
    <t>Assets with Banks</t>
  </si>
  <si>
    <t>-</t>
  </si>
  <si>
    <t>Scheduled Commercial Banks - Select Aggregates</t>
  </si>
  <si>
    <t>(Rupees Crores)</t>
  </si>
  <si>
    <t>Note : Data are final and relate to amount outstanding as on the last Reporting Friday of the month.
Source :  Form 'A' Return submitted by banks under Section 42(2) of RBI Act, 1934.
Also see Notes on Tables.</t>
  </si>
  <si>
    <t>Deposit Stability</t>
  </si>
  <si>
    <t>CD Ratio</t>
  </si>
  <si>
    <t>Deposit Stability Growth</t>
  </si>
  <si>
    <t>Liquidity</t>
  </si>
  <si>
    <t>Investment/Deposit Ratio</t>
  </si>
  <si>
    <t>Market Risk Volatility</t>
  </si>
  <si>
    <t>Borrowings from RBI</t>
  </si>
  <si>
    <t>Market Risk - Coefficient of Variation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</si>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</sst>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d\-mmm\-yyyy;@"/>
  </numFmts>
  <fonts count="10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488AC7"/>
      <name val="Arial"/>
    </font>
    <font>
      <b/>
      <sz val="9"/>
      <color rgb="FF333333"/>
      <name val="Arial"/>
    </font>
    <font>
      <sz val="8"/>
      <color rgb="FF333333"/>
      <name val="Arial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right" vertical="center"/>
    </xf>
    <xf numFmtId="3" fontId="8" fillId="4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3" fontId="8" fillId="2" borderId="1" xfId="0" applyNumberFormat="1" applyFont="1" applyFill="1" applyBorder="1" applyAlignment="1">
      <alignment horizontal="right" vertical="center"/>
    </xf>
    <xf numFmtId="164" fontId="8" fillId="3" borderId="0" xfId="0" applyNumberFormat="1" applyFont="1" applyFill="1" applyAlignment="1">
      <alignment horizontal="left" vertical="center"/>
    </xf>
    <xf numFmtId="3" fontId="6" fillId="4" borderId="0" xfId="0" applyNumberFormat="1" applyFont="1" applyFill="1" applyAlignment="1">
      <alignment horizontal="right" vertical="center"/>
    </xf>
    <xf numFmtId="3" fontId="8" fillId="4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165" fontId="8" fillId="3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8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tabSelected="1" zoomScale="130" zoomScaleNormal="130" workbookViewId="0">
      <selection activeCell="B6" sqref="B6"/>
    </sheetView>
  </sheetViews>
  <sheetFormatPr defaultRowHeight="13.2" x14ac:dyDescent="0.25"/>
  <cols>
    <col min="1" max="1" width="11" bestFit="1" customWidth="1"/>
    <col min="2" max="2" width="15.109375" bestFit="1" customWidth="1"/>
    <col min="3" max="3" width="12.33203125" bestFit="1" customWidth="1"/>
    <col min="4" max="5" width="16.5546875" bestFit="1" customWidth="1"/>
    <col min="6" max="6" width="17.88671875" bestFit="1" customWidth="1"/>
    <col min="7" max="7" width="16.21875" bestFit="1" customWidth="1"/>
    <col min="8" max="8" width="19.33203125" bestFit="1" customWidth="1"/>
    <col min="9" max="9" width="17.6640625" bestFit="1" customWidth="1"/>
    <col min="10" max="10" width="17.5546875" bestFit="1" customWidth="1"/>
    <col min="11" max="12" width="19.77734375" customWidth="1"/>
    <col min="13" max="13" width="10" bestFit="1" customWidth="1"/>
    <col min="14" max="14" width="15" bestFit="1" customWidth="1"/>
    <col min="15" max="16" width="16.88671875" bestFit="1" customWidth="1"/>
    <col min="17" max="17" width="11.44140625" bestFit="1" customWidth="1"/>
    <col min="18" max="18" width="15.44140625" bestFit="1" customWidth="1"/>
    <col min="19" max="19" width="15.77734375" bestFit="1" customWidth="1"/>
    <col min="20" max="20" width="8.44140625" bestFit="1" customWidth="1"/>
    <col min="21" max="21" width="16.109375" customWidth="1"/>
    <col min="22" max="22" width="14.33203125" bestFit="1" customWidth="1"/>
    <col min="23" max="23" width="12.109375" bestFit="1" customWidth="1"/>
    <col min="24" max="24" width="18" customWidth="1"/>
    <col min="25" max="25" width="12.109375" customWidth="1"/>
    <col min="26" max="26" width="23.109375" customWidth="1"/>
  </cols>
  <sheetData>
    <row r="1" spans="1:27" s="1" customFormat="1" ht="24" x14ac:dyDescent="0.2">
      <c r="A1" s="4" t="s">
        <v>29</v>
      </c>
      <c r="B1" s="5" t="s">
        <v>0</v>
      </c>
      <c r="C1" s="5" t="s">
        <v>1</v>
      </c>
      <c r="D1" s="5" t="s">
        <v>2</v>
      </c>
      <c r="E1" s="5" t="s">
        <v>3</v>
      </c>
      <c r="F1" s="4" t="s">
        <v>27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4" t="s">
        <v>24</v>
      </c>
      <c r="U1" s="4" t="s">
        <v>23</v>
      </c>
      <c r="V1" s="9" t="s">
        <v>21</v>
      </c>
      <c r="W1" s="9" t="s">
        <v>22</v>
      </c>
      <c r="X1" s="9" t="s">
        <v>25</v>
      </c>
      <c r="Y1" s="4" t="s">
        <v>26</v>
      </c>
      <c r="Z1" s="9" t="s">
        <v>28</v>
      </c>
      <c r="AA1" s="3"/>
    </row>
    <row r="2" spans="1:27" s="1" customFormat="1" ht="12" x14ac:dyDescent="0.25">
      <c r="A2" s="6">
        <v>1</v>
      </c>
      <c r="B2" s="7">
        <v>2</v>
      </c>
      <c r="C2" s="7">
        <v>3</v>
      </c>
      <c r="D2" s="7">
        <v>4</v>
      </c>
      <c r="E2" s="7">
        <v>5</v>
      </c>
      <c r="F2" s="7">
        <v>6</v>
      </c>
      <c r="G2" s="7">
        <v>7</v>
      </c>
      <c r="H2" s="7">
        <v>8</v>
      </c>
      <c r="I2" s="7">
        <v>9</v>
      </c>
      <c r="J2" s="7">
        <v>10</v>
      </c>
      <c r="K2" s="7">
        <v>11</v>
      </c>
      <c r="L2" s="7">
        <v>12</v>
      </c>
      <c r="M2" s="7">
        <v>13</v>
      </c>
      <c r="N2" s="7">
        <v>14</v>
      </c>
      <c r="O2" s="7">
        <v>15</v>
      </c>
      <c r="P2" s="7">
        <v>16</v>
      </c>
      <c r="Q2" s="7">
        <v>17</v>
      </c>
      <c r="R2" s="7">
        <v>18</v>
      </c>
      <c r="S2" s="7">
        <v>19</v>
      </c>
      <c r="T2" s="2">
        <v>20</v>
      </c>
      <c r="U2" s="8">
        <v>21</v>
      </c>
      <c r="V2" s="8">
        <v>22</v>
      </c>
      <c r="W2" s="8">
        <v>23</v>
      </c>
      <c r="X2" s="8">
        <v>24</v>
      </c>
      <c r="Y2" s="8">
        <v>25</v>
      </c>
      <c r="Z2" s="8">
        <v>26</v>
      </c>
    </row>
    <row r="3" spans="1:27" s="1" customFormat="1" ht="12" x14ac:dyDescent="0.2">
      <c r="A3" s="24">
        <v>45863</v>
      </c>
      <c r="B3" s="10">
        <v>2876367.9819999998</v>
      </c>
      <c r="C3" s="10">
        <v>20473459.010000002</v>
      </c>
      <c r="D3" s="11">
        <v>23349826.989999998</v>
      </c>
      <c r="E3" s="10" t="s">
        <v>17</v>
      </c>
      <c r="F3" s="10">
        <v>1906</v>
      </c>
      <c r="G3" s="10">
        <v>469955.14939999999</v>
      </c>
      <c r="H3" s="10">
        <v>989671.95649999997</v>
      </c>
      <c r="I3" s="10">
        <v>6726283.6359999999</v>
      </c>
      <c r="J3" s="10">
        <v>544.01477399999999</v>
      </c>
      <c r="K3" s="11">
        <v>6726827.6509999996</v>
      </c>
      <c r="L3" s="10" t="s">
        <v>17</v>
      </c>
      <c r="M3" s="10">
        <v>56674.48</v>
      </c>
      <c r="N3" s="12">
        <v>18444702.719999999</v>
      </c>
      <c r="O3" s="11">
        <v>18501377.199999999</v>
      </c>
      <c r="P3" s="10" t="s">
        <v>17</v>
      </c>
      <c r="Q3" s="10">
        <v>82474.892120000004</v>
      </c>
      <c r="R3" s="10">
        <v>918229.35</v>
      </c>
      <c r="S3" s="10">
        <v>369221.34230000002</v>
      </c>
      <c r="T3" s="13">
        <f t="shared" ref="T3:T8" si="0">SUM(Q3, R3, S3, I3)</f>
        <v>8096209.2204200001</v>
      </c>
      <c r="U3" s="14">
        <f>((D4 - D3) / D3) * 100</f>
        <v>0.32470626027538502</v>
      </c>
      <c r="V3" s="14">
        <f>(B3 / C3) * 100</f>
        <v>14.049252647513418</v>
      </c>
      <c r="W3" s="15">
        <f>(O3 / D3) * 100</f>
        <v>79.23560721851841</v>
      </c>
      <c r="X3" s="15">
        <f>(K3 / D3) * 100</f>
        <v>28.808897187464773</v>
      </c>
      <c r="Y3" s="15">
        <f>STDEV(U4:U95)</f>
        <v>0.93042075524441348</v>
      </c>
      <c r="Z3" s="14">
        <f>(STDEV(U4:U95) / AVERAGE(U4:U95)) * 100</f>
        <v>-111.56385577340275</v>
      </c>
    </row>
    <row r="4" spans="1:27" s="1" customFormat="1" ht="12" x14ac:dyDescent="0.2">
      <c r="A4" s="24">
        <v>45835</v>
      </c>
      <c r="B4" s="12">
        <v>3072874.3590000002</v>
      </c>
      <c r="C4" s="12">
        <v>20352770.98</v>
      </c>
      <c r="D4" s="16">
        <v>23425645.34</v>
      </c>
      <c r="E4" s="12">
        <v>23373018.82</v>
      </c>
      <c r="F4" s="12">
        <v>1065</v>
      </c>
      <c r="G4" s="12">
        <v>496493.44380000001</v>
      </c>
      <c r="H4" s="12">
        <v>1046816.103</v>
      </c>
      <c r="I4" s="12">
        <v>6696347.5379999997</v>
      </c>
      <c r="J4" s="12">
        <v>454.34277400000002</v>
      </c>
      <c r="K4" s="16">
        <v>6696801.8810000001</v>
      </c>
      <c r="L4" s="12">
        <v>6650215.3909999998</v>
      </c>
      <c r="M4" s="12">
        <v>64388.73</v>
      </c>
      <c r="N4" s="12">
        <v>18421810.93</v>
      </c>
      <c r="O4" s="16">
        <v>18486199.66</v>
      </c>
      <c r="P4" s="12">
        <v>18091713.870000001</v>
      </c>
      <c r="Q4" s="12">
        <v>86670.833549999996</v>
      </c>
      <c r="R4" s="12">
        <v>933483.32</v>
      </c>
      <c r="S4" s="12">
        <v>398514.36459999997</v>
      </c>
      <c r="T4" s="13">
        <f t="shared" si="0"/>
        <v>8115016.0561499996</v>
      </c>
      <c r="U4" s="14">
        <f t="shared" ref="U4:U67" si="1">((D5 - D4) / D4) * 100</f>
        <v>-1.0804514297320904</v>
      </c>
      <c r="V4" s="14">
        <f t="shared" ref="V4:V67" si="2">(B4 / C4) * 100</f>
        <v>15.098063855873054</v>
      </c>
      <c r="W4" s="15">
        <f t="shared" ref="W4:W67" si="3">(O4 / D4) * 100</f>
        <v>78.914366676738894</v>
      </c>
      <c r="X4" s="15">
        <f t="shared" ref="X4:X67" si="4">(K4 / D4) * 100</f>
        <v>28.587480873216364</v>
      </c>
      <c r="Y4" s="15">
        <f t="shared" ref="Y4:Y25" si="5">STDEV(U5:U96)</f>
        <v>0.95185290888482643</v>
      </c>
      <c r="Z4" s="14">
        <f t="shared" ref="Z4:Z25" si="6">(STDEV(U5:U96) / AVERAGE(U5:U96)) * 100</f>
        <v>-117.48987804214292</v>
      </c>
    </row>
    <row r="5" spans="1:27" s="1" customFormat="1" ht="12" x14ac:dyDescent="0.2">
      <c r="A5" s="24">
        <v>45807</v>
      </c>
      <c r="B5" s="10">
        <v>2988920.7030000002</v>
      </c>
      <c r="C5" s="10">
        <v>20183621.920000002</v>
      </c>
      <c r="D5" s="11">
        <v>23172542.620000001</v>
      </c>
      <c r="E5" s="10">
        <v>23117503.010000002</v>
      </c>
      <c r="F5" s="10">
        <v>6516</v>
      </c>
      <c r="G5" s="10">
        <v>500763.78950000001</v>
      </c>
      <c r="H5" s="10">
        <v>1034573.603</v>
      </c>
      <c r="I5" s="10">
        <v>6706168.8459999999</v>
      </c>
      <c r="J5" s="10">
        <v>548.39497400000005</v>
      </c>
      <c r="K5" s="11">
        <v>6706717.2410000004</v>
      </c>
      <c r="L5" s="10">
        <v>6660129.3609999996</v>
      </c>
      <c r="M5" s="10">
        <v>70580.710000000006</v>
      </c>
      <c r="N5" s="12">
        <v>18216796.199999999</v>
      </c>
      <c r="O5" s="11">
        <v>18287376.91</v>
      </c>
      <c r="P5" s="10">
        <v>17888404.07</v>
      </c>
      <c r="Q5" s="10">
        <v>87179.070240000001</v>
      </c>
      <c r="R5" s="10">
        <v>956086.24</v>
      </c>
      <c r="S5" s="10">
        <v>403817.26510000002</v>
      </c>
      <c r="T5" s="13">
        <f t="shared" si="0"/>
        <v>8153251.4213399999</v>
      </c>
      <c r="U5" s="14">
        <f t="shared" si="1"/>
        <v>-1.3450304315375123</v>
      </c>
      <c r="V5" s="14">
        <f t="shared" si="2"/>
        <v>14.808643933417475</v>
      </c>
      <c r="W5" s="15">
        <f t="shared" si="3"/>
        <v>78.918300895544974</v>
      </c>
      <c r="X5" s="15">
        <f t="shared" si="4"/>
        <v>28.942517664036991</v>
      </c>
      <c r="Y5" s="15">
        <f t="shared" si="5"/>
        <v>0.96943331036482938</v>
      </c>
      <c r="Z5" s="14">
        <f t="shared" si="6"/>
        <v>-117.60374223894922</v>
      </c>
    </row>
    <row r="6" spans="1:27" s="1" customFormat="1" ht="12" x14ac:dyDescent="0.2">
      <c r="A6" s="24">
        <v>45765</v>
      </c>
      <c r="B6" s="12">
        <v>2638562.4270000001</v>
      </c>
      <c r="C6" s="12">
        <v>20222302.440000001</v>
      </c>
      <c r="D6" s="16">
        <v>22860864.870000001</v>
      </c>
      <c r="E6" s="12">
        <v>22802332.510000002</v>
      </c>
      <c r="F6" s="12">
        <v>24763</v>
      </c>
      <c r="G6" s="12">
        <v>475577.8688</v>
      </c>
      <c r="H6" s="12">
        <v>1015128.969</v>
      </c>
      <c r="I6" s="12">
        <v>6692826.9670000002</v>
      </c>
      <c r="J6" s="12">
        <v>615.81297400000005</v>
      </c>
      <c r="K6" s="16">
        <v>6693442.7800000003</v>
      </c>
      <c r="L6" s="12">
        <v>6645677.3700000001</v>
      </c>
      <c r="M6" s="12">
        <v>32125.64</v>
      </c>
      <c r="N6" s="12">
        <v>18155765.809999999</v>
      </c>
      <c r="O6" s="16">
        <v>18187891.449999999</v>
      </c>
      <c r="P6" s="12">
        <v>17775401.75</v>
      </c>
      <c r="Q6" s="12">
        <v>81710.657810000004</v>
      </c>
      <c r="R6" s="12">
        <v>909268.82</v>
      </c>
      <c r="S6" s="12">
        <v>372053.33230000001</v>
      </c>
      <c r="T6" s="13">
        <f t="shared" si="0"/>
        <v>8055859.7771100001</v>
      </c>
      <c r="U6" s="14">
        <f t="shared" si="1"/>
        <v>-1.2259542304884026</v>
      </c>
      <c r="V6" s="14">
        <f t="shared" si="2"/>
        <v>13.047784419349234</v>
      </c>
      <c r="W6" s="15">
        <f t="shared" si="3"/>
        <v>79.559069848961485</v>
      </c>
      <c r="X6" s="15">
        <f t="shared" si="4"/>
        <v>29.279044419634854</v>
      </c>
      <c r="Y6" s="15">
        <f t="shared" si="5"/>
        <v>0.96909381704869013</v>
      </c>
      <c r="Z6" s="14">
        <f t="shared" si="6"/>
        <v>-118.70368000653029</v>
      </c>
    </row>
    <row r="7" spans="1:27" s="1" customFormat="1" ht="12" x14ac:dyDescent="0.2">
      <c r="A7" s="24">
        <v>45737</v>
      </c>
      <c r="B7" s="10">
        <v>2698048.8280000002</v>
      </c>
      <c r="C7" s="10">
        <v>19882552.300000001</v>
      </c>
      <c r="D7" s="11">
        <v>22580601.129999999</v>
      </c>
      <c r="E7" s="10">
        <v>22521154.579999998</v>
      </c>
      <c r="F7" s="10">
        <v>311466</v>
      </c>
      <c r="G7" s="10">
        <v>451305.09730000002</v>
      </c>
      <c r="H7" s="10">
        <v>1061631.7819999999</v>
      </c>
      <c r="I7" s="10">
        <v>6697298.0889999997</v>
      </c>
      <c r="J7" s="10">
        <v>629.74467400000003</v>
      </c>
      <c r="K7" s="11">
        <v>6697927.8329999996</v>
      </c>
      <c r="L7" s="10">
        <v>6650167.1629999997</v>
      </c>
      <c r="M7" s="10">
        <v>36531.160000000003</v>
      </c>
      <c r="N7" s="12">
        <v>18207441.170000002</v>
      </c>
      <c r="O7" s="11">
        <v>18243972.329999998</v>
      </c>
      <c r="P7" s="10">
        <v>17822605.460000001</v>
      </c>
      <c r="Q7" s="10">
        <v>81874.293940000003</v>
      </c>
      <c r="R7" s="10">
        <v>882414.59</v>
      </c>
      <c r="S7" s="10">
        <v>348495.52720000001</v>
      </c>
      <c r="T7" s="13">
        <f t="shared" si="0"/>
        <v>8010082.5001400001</v>
      </c>
      <c r="U7" s="14">
        <f t="shared" si="1"/>
        <v>-1.3121732158243822</v>
      </c>
      <c r="V7" s="14">
        <f t="shared" si="2"/>
        <v>13.569932005158112</v>
      </c>
      <c r="W7" s="15">
        <f t="shared" si="3"/>
        <v>80.794892150862765</v>
      </c>
      <c r="X7" s="15">
        <f t="shared" si="4"/>
        <v>29.662309672089759</v>
      </c>
      <c r="Y7" s="15">
        <f t="shared" si="5"/>
        <v>0.96961585900805547</v>
      </c>
      <c r="Z7" s="14">
        <f t="shared" si="6"/>
        <v>-120.51338776267283</v>
      </c>
    </row>
    <row r="8" spans="1:27" s="1" customFormat="1" ht="12" x14ac:dyDescent="0.2">
      <c r="A8" s="24">
        <v>45709</v>
      </c>
      <c r="B8" s="12">
        <v>2524095.1430000002</v>
      </c>
      <c r="C8" s="12">
        <v>19760209.390000001</v>
      </c>
      <c r="D8" s="16">
        <v>22284304.530000001</v>
      </c>
      <c r="E8" s="12">
        <v>22222442.059999999</v>
      </c>
      <c r="F8" s="12">
        <v>301901</v>
      </c>
      <c r="G8" s="12">
        <v>422162.36369999999</v>
      </c>
      <c r="H8" s="12">
        <v>1021607.549</v>
      </c>
      <c r="I8" s="12">
        <v>6650507.6100000003</v>
      </c>
      <c r="J8" s="12">
        <v>523.77407400000004</v>
      </c>
      <c r="K8" s="16">
        <v>6651031.3839999996</v>
      </c>
      <c r="L8" s="12">
        <v>6600149.7039999999</v>
      </c>
      <c r="M8" s="12">
        <v>47447.85</v>
      </c>
      <c r="N8" s="12">
        <v>17942531.59</v>
      </c>
      <c r="O8" s="16">
        <v>17989979.440000001</v>
      </c>
      <c r="P8" s="12">
        <v>17556776.780000001</v>
      </c>
      <c r="Q8" s="12">
        <v>81760.366479999997</v>
      </c>
      <c r="R8" s="12">
        <v>888462</v>
      </c>
      <c r="S8" s="12">
        <v>319379.69390000001</v>
      </c>
      <c r="T8" s="13">
        <f t="shared" si="0"/>
        <v>7940109.67038</v>
      </c>
      <c r="U8" s="14">
        <f t="shared" si="1"/>
        <v>-0.70781737786635657</v>
      </c>
      <c r="V8" s="14">
        <f t="shared" si="2"/>
        <v>12.773625487376478</v>
      </c>
      <c r="W8" s="15">
        <f t="shared" si="3"/>
        <v>80.729373518393572</v>
      </c>
      <c r="X8" s="15">
        <f t="shared" si="4"/>
        <v>29.846259617598214</v>
      </c>
      <c r="Y8" s="15">
        <f t="shared" si="5"/>
        <v>0.97009914762811111</v>
      </c>
      <c r="Z8" s="14">
        <f t="shared" si="6"/>
        <v>-120.91931887533691</v>
      </c>
    </row>
    <row r="9" spans="1:27" s="1" customFormat="1" ht="12" x14ac:dyDescent="0.2">
      <c r="A9" s="24">
        <v>45681</v>
      </c>
      <c r="B9" s="10">
        <v>2510913.2039999999</v>
      </c>
      <c r="C9" s="10">
        <v>19615659.140000001</v>
      </c>
      <c r="D9" s="11">
        <v>22126572.350000001</v>
      </c>
      <c r="E9" s="10">
        <v>22062333.100000001</v>
      </c>
      <c r="F9" s="10">
        <v>354098</v>
      </c>
      <c r="G9" s="10">
        <v>448208.54300000001</v>
      </c>
      <c r="H9" s="10">
        <v>990920.81759999995</v>
      </c>
      <c r="I9" s="10">
        <v>6635022.3169999998</v>
      </c>
      <c r="J9" s="10">
        <v>503.77407399999998</v>
      </c>
      <c r="K9" s="11">
        <v>6635526.0920000002</v>
      </c>
      <c r="L9" s="10">
        <v>6584650.5120000001</v>
      </c>
      <c r="M9" s="10">
        <v>56178.86</v>
      </c>
      <c r="N9" s="12">
        <v>17812299.670000002</v>
      </c>
      <c r="O9" s="11">
        <v>17868478.530000001</v>
      </c>
      <c r="P9" s="10">
        <v>17426889.710000001</v>
      </c>
      <c r="Q9" s="10">
        <v>84829.033389999997</v>
      </c>
      <c r="R9" s="10">
        <v>889894.55</v>
      </c>
      <c r="S9" s="10">
        <v>309919.0785</v>
      </c>
      <c r="T9" s="13">
        <f t="shared" ref="T9:T72" si="7">SUM(Q9, R9, S9, I9)</f>
        <v>7919664.9788899999</v>
      </c>
      <c r="U9" s="14">
        <f t="shared" si="1"/>
        <v>-0.28915960858258793</v>
      </c>
      <c r="V9" s="14">
        <f t="shared" si="2"/>
        <v>12.800554832642753</v>
      </c>
      <c r="W9" s="15">
        <f t="shared" si="3"/>
        <v>80.75574583968492</v>
      </c>
      <c r="X9" s="15">
        <f t="shared" si="4"/>
        <v>29.988947167408874</v>
      </c>
      <c r="Y9" s="15">
        <f t="shared" si="5"/>
        <v>0.97992654523514167</v>
      </c>
      <c r="Z9" s="14">
        <f t="shared" si="6"/>
        <v>-123.66355519723756</v>
      </c>
    </row>
    <row r="10" spans="1:27" s="1" customFormat="1" ht="12" x14ac:dyDescent="0.2">
      <c r="A10" s="24">
        <v>45653</v>
      </c>
      <c r="B10" s="12">
        <v>2569572.5520000001</v>
      </c>
      <c r="C10" s="12">
        <v>19493018.690000001</v>
      </c>
      <c r="D10" s="16">
        <v>22062591.239999998</v>
      </c>
      <c r="E10" s="12">
        <v>21995900.93</v>
      </c>
      <c r="F10" s="12">
        <v>244697</v>
      </c>
      <c r="G10" s="12">
        <v>456515.28249999997</v>
      </c>
      <c r="H10" s="12">
        <v>996625.80480000004</v>
      </c>
      <c r="I10" s="12">
        <v>6595248.926</v>
      </c>
      <c r="J10" s="12">
        <v>497.87948799999998</v>
      </c>
      <c r="K10" s="16">
        <v>6595746.8059999999</v>
      </c>
      <c r="L10" s="12">
        <v>6544878.6260000002</v>
      </c>
      <c r="M10" s="12">
        <v>56138.69</v>
      </c>
      <c r="N10" s="12">
        <v>17686898.780000001</v>
      </c>
      <c r="O10" s="16">
        <v>17743037.469999999</v>
      </c>
      <c r="P10" s="12">
        <v>17304494.670000002</v>
      </c>
      <c r="Q10" s="12">
        <v>89266.659669999994</v>
      </c>
      <c r="R10" s="12">
        <v>939427.83999999997</v>
      </c>
      <c r="S10" s="12">
        <v>339608.98229999997</v>
      </c>
      <c r="T10" s="13">
        <f t="shared" si="7"/>
        <v>7963552.4079700001</v>
      </c>
      <c r="U10" s="14">
        <f t="shared" si="1"/>
        <v>-0.20453454224444637</v>
      </c>
      <c r="V10" s="14">
        <f t="shared" si="2"/>
        <v>13.182014509216069</v>
      </c>
      <c r="W10" s="15">
        <f t="shared" si="3"/>
        <v>80.421366996236841</v>
      </c>
      <c r="X10" s="15">
        <f t="shared" si="4"/>
        <v>29.895612597135713</v>
      </c>
      <c r="Y10" s="15">
        <f t="shared" si="5"/>
        <v>1.015623444254707</v>
      </c>
      <c r="Z10" s="14">
        <f t="shared" si="6"/>
        <v>-131.84651484991861</v>
      </c>
    </row>
    <row r="11" spans="1:27" s="1" customFormat="1" ht="12" x14ac:dyDescent="0.2">
      <c r="A11" s="24">
        <v>45625</v>
      </c>
      <c r="B11" s="10">
        <v>2576788.6370000001</v>
      </c>
      <c r="C11" s="10">
        <v>19440676.98</v>
      </c>
      <c r="D11" s="11">
        <v>22017465.620000001</v>
      </c>
      <c r="E11" s="10">
        <v>21948305.350000001</v>
      </c>
      <c r="F11" s="10">
        <v>21293</v>
      </c>
      <c r="G11" s="10">
        <v>436036.64539999998</v>
      </c>
      <c r="H11" s="10">
        <v>1021781.263</v>
      </c>
      <c r="I11" s="10">
        <v>6538350.7050000001</v>
      </c>
      <c r="J11" s="10">
        <v>564.605861</v>
      </c>
      <c r="K11" s="11">
        <v>6538915.3099999996</v>
      </c>
      <c r="L11" s="10">
        <v>6487696.8200000003</v>
      </c>
      <c r="M11" s="10">
        <v>51254</v>
      </c>
      <c r="N11" s="12">
        <v>17457701.68</v>
      </c>
      <c r="O11" s="11">
        <v>17508955.68</v>
      </c>
      <c r="P11" s="10">
        <v>17052941.690000001</v>
      </c>
      <c r="Q11" s="10">
        <v>90867.356660000005</v>
      </c>
      <c r="R11" s="10">
        <v>1023814.98</v>
      </c>
      <c r="S11" s="10">
        <v>314489.86930000002</v>
      </c>
      <c r="T11" s="13">
        <f t="shared" si="7"/>
        <v>7967522.91096</v>
      </c>
      <c r="U11" s="14">
        <f t="shared" si="1"/>
        <v>-0.94985464544125753</v>
      </c>
      <c r="V11" s="14">
        <f t="shared" si="2"/>
        <v>13.254624001267675</v>
      </c>
      <c r="W11" s="15">
        <f t="shared" si="3"/>
        <v>79.523029499341618</v>
      </c>
      <c r="X11" s="15">
        <f t="shared" si="4"/>
        <v>29.698764711866961</v>
      </c>
      <c r="Y11" s="15">
        <f t="shared" si="5"/>
        <v>1.0407133572307548</v>
      </c>
      <c r="Z11" s="14">
        <f t="shared" si="6"/>
        <v>-131.38701999518892</v>
      </c>
    </row>
    <row r="12" spans="1:27" s="1" customFormat="1" ht="12" x14ac:dyDescent="0.2">
      <c r="A12" s="24">
        <v>45583</v>
      </c>
      <c r="B12" s="12">
        <v>2544607.5780000002</v>
      </c>
      <c r="C12" s="12">
        <v>19263724.120000001</v>
      </c>
      <c r="D12" s="16">
        <v>21808331.699999999</v>
      </c>
      <c r="E12" s="12">
        <v>21735760.23</v>
      </c>
      <c r="F12" s="12">
        <v>7756</v>
      </c>
      <c r="G12" s="12">
        <v>448036.28509999998</v>
      </c>
      <c r="H12" s="12">
        <v>950616.18720000004</v>
      </c>
      <c r="I12" s="12">
        <v>6490267.3090000004</v>
      </c>
      <c r="J12" s="12">
        <v>740.60832400000004</v>
      </c>
      <c r="K12" s="16">
        <v>6491007.9170000004</v>
      </c>
      <c r="L12" s="12">
        <v>6429418.0769999996</v>
      </c>
      <c r="M12" s="12">
        <v>18654.04</v>
      </c>
      <c r="N12" s="12">
        <v>17219020.149999999</v>
      </c>
      <c r="O12" s="16">
        <v>17237674.190000001</v>
      </c>
      <c r="P12" s="12">
        <v>16772029.73</v>
      </c>
      <c r="Q12" s="12">
        <v>91268.515530000004</v>
      </c>
      <c r="R12" s="12">
        <v>984540.95</v>
      </c>
      <c r="S12" s="12">
        <v>339899.8835</v>
      </c>
      <c r="T12" s="13">
        <f t="shared" si="7"/>
        <v>7905976.6580300005</v>
      </c>
      <c r="U12" s="14">
        <f t="shared" si="1"/>
        <v>-1.387839125722756</v>
      </c>
      <c r="V12" s="14">
        <f t="shared" si="2"/>
        <v>13.209323192902952</v>
      </c>
      <c r="W12" s="15">
        <f t="shared" si="3"/>
        <v>79.041691162465227</v>
      </c>
      <c r="X12" s="15">
        <f t="shared" si="4"/>
        <v>29.763890270432746</v>
      </c>
      <c r="Y12" s="15">
        <f t="shared" si="5"/>
        <v>1.0424697013258177</v>
      </c>
      <c r="Z12" s="14">
        <f t="shared" si="6"/>
        <v>-134.25912571849241</v>
      </c>
    </row>
    <row r="13" spans="1:27" s="1" customFormat="1" ht="12" x14ac:dyDescent="0.2">
      <c r="A13" s="24">
        <v>45555</v>
      </c>
      <c r="B13" s="10">
        <v>2498373.2659999998</v>
      </c>
      <c r="C13" s="10">
        <v>19007293.879999999</v>
      </c>
      <c r="D13" s="11">
        <v>21505667.140000001</v>
      </c>
      <c r="E13" s="10">
        <v>21430191.710000001</v>
      </c>
      <c r="F13" s="10">
        <v>51223</v>
      </c>
      <c r="G13" s="10">
        <v>462139.95110000001</v>
      </c>
      <c r="H13" s="10">
        <v>1031197.111</v>
      </c>
      <c r="I13" s="10">
        <v>6403395.0559999999</v>
      </c>
      <c r="J13" s="10">
        <v>648.92003999999997</v>
      </c>
      <c r="K13" s="11">
        <v>6404043.9759999998</v>
      </c>
      <c r="L13" s="10">
        <v>6340502.4160000002</v>
      </c>
      <c r="M13" s="10">
        <v>39851.120000000003</v>
      </c>
      <c r="N13" s="12">
        <v>17085200.879999999</v>
      </c>
      <c r="O13" s="11">
        <v>17125052</v>
      </c>
      <c r="P13" s="10">
        <v>16648643.24</v>
      </c>
      <c r="Q13" s="10">
        <v>86245.854210000005</v>
      </c>
      <c r="R13" s="10">
        <v>956254.78</v>
      </c>
      <c r="S13" s="10">
        <v>345892.41739999998</v>
      </c>
      <c r="T13" s="13">
        <f t="shared" si="7"/>
        <v>7791788.1076100003</v>
      </c>
      <c r="U13" s="14">
        <f t="shared" si="1"/>
        <v>-0.83950476320820366</v>
      </c>
      <c r="V13" s="14">
        <f t="shared" si="2"/>
        <v>13.144287039349969</v>
      </c>
      <c r="W13" s="15">
        <f t="shared" si="3"/>
        <v>79.630415036731577</v>
      </c>
      <c r="X13" s="15">
        <f t="shared" si="4"/>
        <v>29.778401824552741</v>
      </c>
      <c r="Y13" s="15">
        <f t="shared" si="5"/>
        <v>1.0477763877285142</v>
      </c>
      <c r="Z13" s="14">
        <f t="shared" si="6"/>
        <v>-137.00614451433293</v>
      </c>
    </row>
    <row r="14" spans="1:27" s="1" customFormat="1" ht="12" x14ac:dyDescent="0.2">
      <c r="A14" s="24">
        <v>45527</v>
      </c>
      <c r="B14" s="12">
        <v>2446039.1170000001</v>
      </c>
      <c r="C14" s="12">
        <v>18879086.920000002</v>
      </c>
      <c r="D14" s="16">
        <v>21325126.039999999</v>
      </c>
      <c r="E14" s="12">
        <v>21246178.98</v>
      </c>
      <c r="F14" s="12">
        <v>6708</v>
      </c>
      <c r="G14" s="12">
        <v>499366.66609999997</v>
      </c>
      <c r="H14" s="12">
        <v>930737.99419999996</v>
      </c>
      <c r="I14" s="12">
        <v>6365128.398</v>
      </c>
      <c r="J14" s="12">
        <v>358.48467699999998</v>
      </c>
      <c r="K14" s="16">
        <v>6365486.8820000002</v>
      </c>
      <c r="L14" s="12">
        <v>6300584.4819999998</v>
      </c>
      <c r="M14" s="12">
        <v>24360.63</v>
      </c>
      <c r="N14" s="12">
        <v>16920947.989999998</v>
      </c>
      <c r="O14" s="16">
        <v>16945308.620000001</v>
      </c>
      <c r="P14" s="12">
        <v>16459976.68</v>
      </c>
      <c r="Q14" s="12">
        <v>96191.035829999993</v>
      </c>
      <c r="R14" s="12">
        <v>960220.32</v>
      </c>
      <c r="S14" s="12">
        <v>392636.8702</v>
      </c>
      <c r="T14" s="13">
        <f t="shared" si="7"/>
        <v>7814176.6240299996</v>
      </c>
      <c r="U14" s="14">
        <f t="shared" si="1"/>
        <v>-0.61691391531863637</v>
      </c>
      <c r="V14" s="14">
        <f t="shared" si="2"/>
        <v>12.956342260433853</v>
      </c>
      <c r="W14" s="15">
        <f t="shared" si="3"/>
        <v>79.461704414854665</v>
      </c>
      <c r="X14" s="15">
        <f t="shared" si="4"/>
        <v>29.849703444003655</v>
      </c>
      <c r="Y14" s="15">
        <f t="shared" si="5"/>
        <v>1.0519313209788546</v>
      </c>
      <c r="Z14" s="14">
        <f t="shared" si="6"/>
        <v>-139.04904914607187</v>
      </c>
    </row>
    <row r="15" spans="1:27" s="1" customFormat="1" ht="12" x14ac:dyDescent="0.2">
      <c r="A15" s="24">
        <v>45499</v>
      </c>
      <c r="B15" s="10">
        <v>2444220.3650000002</v>
      </c>
      <c r="C15" s="10">
        <v>18749348</v>
      </c>
      <c r="D15" s="11">
        <v>21193568.370000001</v>
      </c>
      <c r="E15" s="10">
        <v>21110366.609999999</v>
      </c>
      <c r="F15" s="10">
        <v>7161</v>
      </c>
      <c r="G15" s="10">
        <v>495645.50030000001</v>
      </c>
      <c r="H15" s="10">
        <v>898967.66500000004</v>
      </c>
      <c r="I15" s="10">
        <v>6312656.9129999997</v>
      </c>
      <c r="J15" s="10">
        <v>1110.544165</v>
      </c>
      <c r="K15" s="11">
        <v>6313767.4570000004</v>
      </c>
      <c r="L15" s="10">
        <v>6248415.7869999902</v>
      </c>
      <c r="M15" s="10">
        <v>56380.28</v>
      </c>
      <c r="N15" s="12">
        <v>16757554.5</v>
      </c>
      <c r="O15" s="11">
        <v>16813934.780000001</v>
      </c>
      <c r="P15" s="10">
        <v>16320298.369999999</v>
      </c>
      <c r="Q15" s="10">
        <v>99350.492580000006</v>
      </c>
      <c r="R15" s="10">
        <v>976073.02</v>
      </c>
      <c r="S15" s="10">
        <v>363113.10609999998</v>
      </c>
      <c r="T15" s="13">
        <f t="shared" si="7"/>
        <v>7751193.53168</v>
      </c>
      <c r="U15" s="14">
        <f t="shared" si="1"/>
        <v>0.43328720485779876</v>
      </c>
      <c r="V15" s="14">
        <f t="shared" si="2"/>
        <v>13.036295262107247</v>
      </c>
      <c r="W15" s="15">
        <f t="shared" si="3"/>
        <v>79.335081692993825</v>
      </c>
      <c r="X15" s="15">
        <f t="shared" si="4"/>
        <v>29.790959911863112</v>
      </c>
      <c r="Y15" s="15">
        <f t="shared" si="5"/>
        <v>1.1451157760817441</v>
      </c>
      <c r="Z15" s="14">
        <f t="shared" si="6"/>
        <v>-139.89653101576536</v>
      </c>
    </row>
    <row r="16" spans="1:27" s="1" customFormat="1" ht="12" x14ac:dyDescent="0.2">
      <c r="A16" s="24">
        <v>45471</v>
      </c>
      <c r="B16" s="12">
        <v>2601677.3670000001</v>
      </c>
      <c r="C16" s="12">
        <v>18683720.030000001</v>
      </c>
      <c r="D16" s="16">
        <v>21285397.390000001</v>
      </c>
      <c r="E16" s="12">
        <v>21196000.620000001</v>
      </c>
      <c r="F16" s="12">
        <v>102741</v>
      </c>
      <c r="G16" s="12">
        <v>508731.56160000002</v>
      </c>
      <c r="H16" s="12">
        <v>929579.16440000001</v>
      </c>
      <c r="I16" s="12">
        <v>6157069.5959999999</v>
      </c>
      <c r="J16" s="12">
        <v>1137.3665100000001</v>
      </c>
      <c r="K16" s="16">
        <v>6158206.9620000003</v>
      </c>
      <c r="L16" s="12">
        <v>6092862.4819999998</v>
      </c>
      <c r="M16" s="12">
        <v>33903.61</v>
      </c>
      <c r="N16" s="12">
        <v>16852124.98</v>
      </c>
      <c r="O16" s="16">
        <v>16886028.59</v>
      </c>
      <c r="P16" s="12">
        <v>16385797.83</v>
      </c>
      <c r="Q16" s="12">
        <v>104977.41409999999</v>
      </c>
      <c r="R16" s="12">
        <v>973455</v>
      </c>
      <c r="S16" s="12">
        <v>376529.61359999998</v>
      </c>
      <c r="T16" s="13">
        <f t="shared" si="7"/>
        <v>7612031.6237000003</v>
      </c>
      <c r="U16" s="14">
        <f t="shared" si="1"/>
        <v>-0.93111261381998345</v>
      </c>
      <c r="V16" s="14">
        <f t="shared" si="2"/>
        <v>13.924835968546676</v>
      </c>
      <c r="W16" s="15">
        <f t="shared" si="3"/>
        <v>79.331516722977184</v>
      </c>
      <c r="X16" s="15">
        <f t="shared" si="4"/>
        <v>28.931604372550545</v>
      </c>
      <c r="Y16" s="15">
        <f t="shared" si="5"/>
        <v>1.1731300543444387</v>
      </c>
      <c r="Z16" s="14">
        <f t="shared" si="6"/>
        <v>-148.3641378547984</v>
      </c>
    </row>
    <row r="17" spans="1:26" s="1" customFormat="1" ht="12" x14ac:dyDescent="0.2">
      <c r="A17" s="24">
        <v>45443</v>
      </c>
      <c r="B17" s="10">
        <v>2506492.906</v>
      </c>
      <c r="C17" s="10">
        <v>18580713.469999999</v>
      </c>
      <c r="D17" s="11">
        <v>21087206.370000001</v>
      </c>
      <c r="E17" s="10">
        <v>20992027.539999999</v>
      </c>
      <c r="F17" s="10">
        <v>71305</v>
      </c>
      <c r="G17" s="10">
        <v>523456.66129999998</v>
      </c>
      <c r="H17" s="10">
        <v>967360.63300000003</v>
      </c>
      <c r="I17" s="10">
        <v>6182472.7580000004</v>
      </c>
      <c r="J17" s="10">
        <v>1029.26765</v>
      </c>
      <c r="K17" s="11">
        <v>6183502.0259999996</v>
      </c>
      <c r="L17" s="10">
        <v>6098619.7460000003</v>
      </c>
      <c r="M17" s="10">
        <v>40258.89</v>
      </c>
      <c r="N17" s="12">
        <v>16742622.75</v>
      </c>
      <c r="O17" s="11">
        <v>16782881.640000001</v>
      </c>
      <c r="P17" s="10">
        <v>16271803.039999999</v>
      </c>
      <c r="Q17" s="10">
        <v>90895.203559999994</v>
      </c>
      <c r="R17" s="10">
        <v>951109.29</v>
      </c>
      <c r="S17" s="10">
        <v>362431.5711</v>
      </c>
      <c r="T17" s="13">
        <f t="shared" si="7"/>
        <v>7586908.822660001</v>
      </c>
      <c r="U17" s="14">
        <f t="shared" si="1"/>
        <v>-1.5830090726237842</v>
      </c>
      <c r="V17" s="14">
        <f t="shared" si="2"/>
        <v>13.489755977599712</v>
      </c>
      <c r="W17" s="15">
        <f t="shared" si="3"/>
        <v>79.587980245104418</v>
      </c>
      <c r="X17" s="15">
        <f t="shared" si="4"/>
        <v>29.323476602367975</v>
      </c>
      <c r="Y17" s="15">
        <f t="shared" si="5"/>
        <v>1.2206715798470298</v>
      </c>
      <c r="Z17" s="14">
        <f t="shared" si="6"/>
        <v>-149.18327815656721</v>
      </c>
    </row>
    <row r="18" spans="1:26" s="1" customFormat="1" ht="12" x14ac:dyDescent="0.2">
      <c r="A18" s="24">
        <v>45401</v>
      </c>
      <c r="B18" s="12">
        <v>2461946.5490000001</v>
      </c>
      <c r="C18" s="12">
        <v>18291447.43</v>
      </c>
      <c r="D18" s="16">
        <v>20753393.98</v>
      </c>
      <c r="E18" s="12">
        <v>20647411.789999999</v>
      </c>
      <c r="F18" s="12">
        <v>85339</v>
      </c>
      <c r="G18" s="12">
        <v>539651.48230000003</v>
      </c>
      <c r="H18" s="12">
        <v>897248.18559999997</v>
      </c>
      <c r="I18" s="12">
        <v>6147100.6449999996</v>
      </c>
      <c r="J18" s="12">
        <v>1109.7181</v>
      </c>
      <c r="K18" s="16">
        <v>6148210.3629999999</v>
      </c>
      <c r="L18" s="12">
        <v>6060906.8729999997</v>
      </c>
      <c r="M18" s="12">
        <v>18090.099999999999</v>
      </c>
      <c r="N18" s="12">
        <v>16473706.24</v>
      </c>
      <c r="O18" s="16">
        <v>16491796.34</v>
      </c>
      <c r="P18" s="12">
        <v>15970978.119999999</v>
      </c>
      <c r="Q18" s="12">
        <v>100320.7868</v>
      </c>
      <c r="R18" s="12">
        <v>944235.5</v>
      </c>
      <c r="S18" s="12">
        <v>359163.91739999998</v>
      </c>
      <c r="T18" s="13">
        <f t="shared" si="7"/>
        <v>7550820.8491999991</v>
      </c>
      <c r="U18" s="14">
        <f t="shared" si="1"/>
        <v>-1.3403474644584368</v>
      </c>
      <c r="V18" s="14">
        <f t="shared" si="2"/>
        <v>13.459550199193831</v>
      </c>
      <c r="W18" s="15">
        <f t="shared" si="3"/>
        <v>79.465538773528351</v>
      </c>
      <c r="X18" s="15">
        <f t="shared" si="4"/>
        <v>29.625083824481997</v>
      </c>
      <c r="Y18" s="15">
        <f t="shared" si="5"/>
        <v>1.2196668555633656</v>
      </c>
      <c r="Z18" s="14">
        <f t="shared" si="6"/>
        <v>-150.57706443250655</v>
      </c>
    </row>
    <row r="19" spans="1:26" s="1" customFormat="1" ht="12" x14ac:dyDescent="0.2">
      <c r="A19" s="24">
        <v>45373</v>
      </c>
      <c r="B19" s="10">
        <v>2443853.1009999998</v>
      </c>
      <c r="C19" s="10">
        <v>18031373.289999999</v>
      </c>
      <c r="D19" s="11">
        <v>20475226.390000001</v>
      </c>
      <c r="E19" s="10">
        <v>20366983.91</v>
      </c>
      <c r="F19" s="10">
        <v>222716</v>
      </c>
      <c r="G19" s="10">
        <v>549351.28430000006</v>
      </c>
      <c r="H19" s="10">
        <v>937428.00260000001</v>
      </c>
      <c r="I19" s="10">
        <v>6105609.5099999998</v>
      </c>
      <c r="J19" s="10">
        <v>948.50905999999998</v>
      </c>
      <c r="K19" s="11">
        <v>6106558.0190000003</v>
      </c>
      <c r="L19" s="10">
        <v>6015002.699</v>
      </c>
      <c r="M19" s="10">
        <v>23080.81</v>
      </c>
      <c r="N19" s="12">
        <v>16409083.119999999</v>
      </c>
      <c r="O19" s="11">
        <v>16432163.93</v>
      </c>
      <c r="P19" s="10">
        <v>15901477.449999999</v>
      </c>
      <c r="Q19" s="10">
        <v>89433.213399999993</v>
      </c>
      <c r="R19" s="10">
        <v>931482.63</v>
      </c>
      <c r="S19" s="10">
        <v>374474.43180000002</v>
      </c>
      <c r="T19" s="13">
        <f t="shared" si="7"/>
        <v>7500999.7851999998</v>
      </c>
      <c r="U19" s="14">
        <f t="shared" si="1"/>
        <v>-1.3206051295826506</v>
      </c>
      <c r="V19" s="14">
        <f t="shared" si="2"/>
        <v>13.55333873740684</v>
      </c>
      <c r="W19" s="15">
        <f t="shared" si="3"/>
        <v>80.253881529853984</v>
      </c>
      <c r="X19" s="15">
        <f t="shared" si="4"/>
        <v>29.824129426878589</v>
      </c>
      <c r="Y19" s="15">
        <f t="shared" si="5"/>
        <v>1.2184793044463413</v>
      </c>
      <c r="Z19" s="14">
        <f t="shared" si="6"/>
        <v>-151.45879908091749</v>
      </c>
    </row>
    <row r="20" spans="1:26" s="1" customFormat="1" ht="12" x14ac:dyDescent="0.2">
      <c r="A20" s="24">
        <v>45345</v>
      </c>
      <c r="B20" s="12">
        <v>2368307.4619999998</v>
      </c>
      <c r="C20" s="12">
        <v>17836522.039999999</v>
      </c>
      <c r="D20" s="16">
        <v>20204829.5</v>
      </c>
      <c r="E20" s="12">
        <v>20092042.390000001</v>
      </c>
      <c r="F20" s="12">
        <v>256374</v>
      </c>
      <c r="G20" s="12">
        <v>516165.04629999999</v>
      </c>
      <c r="H20" s="12">
        <v>921387.11060000001</v>
      </c>
      <c r="I20" s="12">
        <v>6047840.5710000005</v>
      </c>
      <c r="J20" s="12">
        <v>825.48530000000005</v>
      </c>
      <c r="K20" s="16">
        <v>6048666.0559999999</v>
      </c>
      <c r="L20" s="12">
        <v>5956992.9060000004</v>
      </c>
      <c r="M20" s="12">
        <v>40501.67</v>
      </c>
      <c r="N20" s="12">
        <v>16173633.1</v>
      </c>
      <c r="O20" s="16">
        <v>16214134.77</v>
      </c>
      <c r="P20" s="12">
        <v>15677729.77</v>
      </c>
      <c r="Q20" s="12">
        <v>83045.276389999999</v>
      </c>
      <c r="R20" s="12">
        <v>909399.76</v>
      </c>
      <c r="S20" s="12">
        <v>357114.37929999997</v>
      </c>
      <c r="T20" s="13">
        <f t="shared" si="7"/>
        <v>7397399.9866900006</v>
      </c>
      <c r="U20" s="14">
        <f t="shared" si="1"/>
        <v>-0.72100326310598384</v>
      </c>
      <c r="V20" s="14">
        <f t="shared" si="2"/>
        <v>13.277854599057248</v>
      </c>
      <c r="W20" s="15">
        <f t="shared" si="3"/>
        <v>80.248807692240106</v>
      </c>
      <c r="X20" s="15">
        <f t="shared" si="4"/>
        <v>29.936733967490298</v>
      </c>
      <c r="Y20" s="15">
        <f t="shared" si="5"/>
        <v>1.219548681562499</v>
      </c>
      <c r="Z20" s="14">
        <f t="shared" si="6"/>
        <v>-152.4414619725145</v>
      </c>
    </row>
    <row r="21" spans="1:26" s="1" customFormat="1" ht="12" x14ac:dyDescent="0.2">
      <c r="A21" s="24">
        <v>45317</v>
      </c>
      <c r="B21" s="10">
        <v>2355014.8250000002</v>
      </c>
      <c r="C21" s="10">
        <v>17704137.199999999</v>
      </c>
      <c r="D21" s="11">
        <v>20059152.02</v>
      </c>
      <c r="E21" s="10">
        <v>19942850.239999998</v>
      </c>
      <c r="F21" s="10">
        <v>337637</v>
      </c>
      <c r="G21" s="10">
        <v>534661.44900000002</v>
      </c>
      <c r="H21" s="10">
        <v>890914.02590000001</v>
      </c>
      <c r="I21" s="10">
        <v>5973361.4950000001</v>
      </c>
      <c r="J21" s="10">
        <v>806.83280000000002</v>
      </c>
      <c r="K21" s="11">
        <v>5974168.3269999996</v>
      </c>
      <c r="L21" s="10">
        <v>5880680.767</v>
      </c>
      <c r="M21" s="10">
        <v>45618.73</v>
      </c>
      <c r="N21" s="12">
        <v>15997973.07</v>
      </c>
      <c r="O21" s="11">
        <v>16043591.800000001</v>
      </c>
      <c r="P21" s="10">
        <v>15490355.82</v>
      </c>
      <c r="Q21" s="10">
        <v>84096.800910000005</v>
      </c>
      <c r="R21" s="10">
        <v>933808.17</v>
      </c>
      <c r="S21" s="10">
        <v>358709.96840000001</v>
      </c>
      <c r="T21" s="13">
        <f t="shared" si="7"/>
        <v>7349976.4343100004</v>
      </c>
      <c r="U21" s="14">
        <f t="shared" si="1"/>
        <v>0.14402089366089288</v>
      </c>
      <c r="V21" s="14">
        <f t="shared" si="2"/>
        <v>13.302059277986167</v>
      </c>
      <c r="W21" s="15">
        <f t="shared" si="3"/>
        <v>79.981405913887684</v>
      </c>
      <c r="X21" s="15">
        <f t="shared" si="4"/>
        <v>29.782756125699873</v>
      </c>
      <c r="Y21" s="15">
        <f t="shared" si="5"/>
        <v>1.2193312971955514</v>
      </c>
      <c r="Z21" s="14">
        <f t="shared" si="6"/>
        <v>-152.3606643921627</v>
      </c>
    </row>
    <row r="22" spans="1:26" s="1" customFormat="1" ht="12" x14ac:dyDescent="0.2">
      <c r="A22" s="24">
        <v>45289</v>
      </c>
      <c r="B22" s="12">
        <v>2437504.1290000002</v>
      </c>
      <c r="C22" s="12">
        <v>17650537.260000002</v>
      </c>
      <c r="D22" s="16">
        <v>20088041.390000001</v>
      </c>
      <c r="E22" s="12">
        <v>19966754.329999998</v>
      </c>
      <c r="F22" s="12">
        <v>271352</v>
      </c>
      <c r="G22" s="12">
        <v>524746.80610000005</v>
      </c>
      <c r="H22" s="12">
        <v>937130.07330000005</v>
      </c>
      <c r="I22" s="12">
        <v>5989765.1859999998</v>
      </c>
      <c r="J22" s="12">
        <v>737.36210000000005</v>
      </c>
      <c r="K22" s="16">
        <v>5990502.5480000004</v>
      </c>
      <c r="L22" s="12">
        <v>5889692.2479999997</v>
      </c>
      <c r="M22" s="12">
        <v>43139</v>
      </c>
      <c r="N22" s="12">
        <v>15918804.970000001</v>
      </c>
      <c r="O22" s="16">
        <v>15961943.970000001</v>
      </c>
      <c r="P22" s="12">
        <v>15388871.470000001</v>
      </c>
      <c r="Q22" s="12">
        <v>95082.468420000005</v>
      </c>
      <c r="R22" s="12">
        <v>939846.55</v>
      </c>
      <c r="S22" s="12">
        <v>364151.50189999997</v>
      </c>
      <c r="T22" s="13">
        <f t="shared" si="7"/>
        <v>7388845.7063199999</v>
      </c>
      <c r="U22" s="14">
        <f t="shared" si="1"/>
        <v>-2.1713491202638426</v>
      </c>
      <c r="V22" s="14">
        <f t="shared" si="2"/>
        <v>13.809801328393103</v>
      </c>
      <c r="W22" s="15">
        <f t="shared" si="3"/>
        <v>79.459931708155452</v>
      </c>
      <c r="X22" s="15">
        <f t="shared" si="4"/>
        <v>29.821237579598598</v>
      </c>
      <c r="Y22" s="15">
        <f t="shared" si="5"/>
        <v>1.2182280547515998</v>
      </c>
      <c r="Z22" s="14">
        <f t="shared" si="6"/>
        <v>-152.41391757216314</v>
      </c>
    </row>
    <row r="23" spans="1:26" s="1" customFormat="1" ht="12" x14ac:dyDescent="0.2">
      <c r="A23" s="24">
        <v>45247</v>
      </c>
      <c r="B23" s="10">
        <v>2307178.4559999998</v>
      </c>
      <c r="C23" s="10">
        <v>17344681.420000002</v>
      </c>
      <c r="D23" s="11">
        <v>19651859.879999999</v>
      </c>
      <c r="E23" s="10">
        <v>19523625.550000001</v>
      </c>
      <c r="F23" s="10">
        <v>131042.1</v>
      </c>
      <c r="G23" s="10">
        <v>500252.57199999999</v>
      </c>
      <c r="H23" s="10">
        <v>887232.99109999998</v>
      </c>
      <c r="I23" s="10">
        <v>6069047.2680000002</v>
      </c>
      <c r="J23" s="10">
        <v>820.4316</v>
      </c>
      <c r="K23" s="11">
        <v>6069867.699</v>
      </c>
      <c r="L23" s="10">
        <v>5963363.6090000002</v>
      </c>
      <c r="M23" s="10">
        <v>40260.639999999999</v>
      </c>
      <c r="N23" s="12">
        <v>15580546.460000001</v>
      </c>
      <c r="O23" s="11">
        <v>15620807.1</v>
      </c>
      <c r="P23" s="10">
        <v>15040208.800000001</v>
      </c>
      <c r="Q23" s="10">
        <v>88878.571960000001</v>
      </c>
      <c r="R23" s="10">
        <v>910823.43</v>
      </c>
      <c r="S23" s="10">
        <v>359005.7329</v>
      </c>
      <c r="T23" s="13">
        <f t="shared" si="7"/>
        <v>7427755.0028600004</v>
      </c>
      <c r="U23" s="14">
        <f t="shared" si="1"/>
        <v>-0.6922994099833627</v>
      </c>
      <c r="V23" s="14">
        <f t="shared" si="2"/>
        <v>13.301936196646496</v>
      </c>
      <c r="W23" s="15">
        <f t="shared" si="3"/>
        <v>79.487677987657221</v>
      </c>
      <c r="X23" s="15">
        <f t="shared" si="4"/>
        <v>30.886988488949068</v>
      </c>
      <c r="Y23" s="15">
        <f t="shared" si="5"/>
        <v>1.2192976243377418</v>
      </c>
      <c r="Z23" s="14">
        <f t="shared" si="6"/>
        <v>-153.36820074409144</v>
      </c>
    </row>
    <row r="24" spans="1:26" s="1" customFormat="1" ht="12" x14ac:dyDescent="0.2">
      <c r="A24" s="24">
        <v>45219</v>
      </c>
      <c r="B24" s="12">
        <v>2248737.969</v>
      </c>
      <c r="C24" s="12">
        <v>17267072.199999999</v>
      </c>
      <c r="D24" s="16">
        <v>19515810.170000002</v>
      </c>
      <c r="E24" s="12">
        <v>19381615.140000001</v>
      </c>
      <c r="F24" s="12">
        <v>143805.69</v>
      </c>
      <c r="G24" s="12">
        <v>512876.0883</v>
      </c>
      <c r="H24" s="12">
        <v>900122.89020000002</v>
      </c>
      <c r="I24" s="12">
        <v>6052732.9340000004</v>
      </c>
      <c r="J24" s="12">
        <v>696.01909999999998</v>
      </c>
      <c r="K24" s="16">
        <v>6053428.9529999997</v>
      </c>
      <c r="L24" s="12">
        <v>5942172.1229999997</v>
      </c>
      <c r="M24" s="12">
        <v>19841.04</v>
      </c>
      <c r="N24" s="12">
        <v>15438045.77</v>
      </c>
      <c r="O24" s="16">
        <v>15457886.810000001</v>
      </c>
      <c r="P24" s="12">
        <v>14871456.59</v>
      </c>
      <c r="Q24" s="12">
        <v>90802.516829999993</v>
      </c>
      <c r="R24" s="12">
        <v>917856.29</v>
      </c>
      <c r="S24" s="12">
        <v>356461.03850000002</v>
      </c>
      <c r="T24" s="13">
        <f t="shared" si="7"/>
        <v>7417852.7793300003</v>
      </c>
      <c r="U24" s="14">
        <f t="shared" si="1"/>
        <v>-1.2048942777762357</v>
      </c>
      <c r="V24" s="14">
        <f t="shared" si="2"/>
        <v>13.023273100114796</v>
      </c>
      <c r="W24" s="15">
        <f t="shared" si="3"/>
        <v>79.206995125224665</v>
      </c>
      <c r="X24" s="15">
        <f t="shared" si="4"/>
        <v>31.018076627458807</v>
      </c>
      <c r="Y24" s="15">
        <f t="shared" si="5"/>
        <v>1.218561970503548</v>
      </c>
      <c r="Z24" s="14">
        <f t="shared" si="6"/>
        <v>-153.97544479128877</v>
      </c>
    </row>
    <row r="25" spans="1:26" s="1" customFormat="1" ht="12" x14ac:dyDescent="0.2">
      <c r="A25" s="24">
        <v>45191</v>
      </c>
      <c r="B25" s="10">
        <v>2204591.25</v>
      </c>
      <c r="C25" s="10">
        <v>17076074.039999999</v>
      </c>
      <c r="D25" s="11">
        <v>19280665.289999999</v>
      </c>
      <c r="E25" s="10">
        <v>19138668.579999998</v>
      </c>
      <c r="F25" s="10">
        <v>187948</v>
      </c>
      <c r="G25" s="10">
        <v>504625.66570000001</v>
      </c>
      <c r="H25" s="10">
        <v>877239.68279999995</v>
      </c>
      <c r="I25" s="10">
        <v>5980660.5109999999</v>
      </c>
      <c r="J25" s="10">
        <v>696.25220000000002</v>
      </c>
      <c r="K25" s="11">
        <v>5981356.7630000003</v>
      </c>
      <c r="L25" s="10">
        <v>5868391.7829999998</v>
      </c>
      <c r="M25" s="10">
        <v>18865.05</v>
      </c>
      <c r="N25" s="12">
        <v>15132449.140000001</v>
      </c>
      <c r="O25" s="11">
        <v>15151314.189999999</v>
      </c>
      <c r="P25" s="10">
        <v>14558873.73</v>
      </c>
      <c r="Q25" s="10">
        <v>94141.43131</v>
      </c>
      <c r="R25" s="10">
        <v>959345.47</v>
      </c>
      <c r="S25" s="10">
        <v>344692.2623</v>
      </c>
      <c r="T25" s="13">
        <f t="shared" si="7"/>
        <v>7378839.6746100001</v>
      </c>
      <c r="U25" s="14">
        <f t="shared" si="1"/>
        <v>-0.20592781464129611</v>
      </c>
      <c r="V25" s="14">
        <f t="shared" si="2"/>
        <v>12.910410465753639</v>
      </c>
      <c r="W25" s="15">
        <f t="shared" si="3"/>
        <v>78.58294287105484</v>
      </c>
      <c r="X25" s="15">
        <f t="shared" si="4"/>
        <v>31.022564175221991</v>
      </c>
      <c r="Y25" s="15">
        <f t="shared" si="5"/>
        <v>10.413896221971267</v>
      </c>
      <c r="Z25" s="14">
        <f t="shared" si="6"/>
        <v>-555.07671491948145</v>
      </c>
    </row>
    <row r="26" spans="1:26" s="1" customFormat="1" ht="12" x14ac:dyDescent="0.2">
      <c r="A26" s="24">
        <v>45163</v>
      </c>
      <c r="B26" s="12">
        <v>2212312.4133600001</v>
      </c>
      <c r="C26" s="12">
        <v>17028648.62396</v>
      </c>
      <c r="D26" s="16">
        <v>19240961.037319999</v>
      </c>
      <c r="E26" s="12">
        <v>19094164.897319999</v>
      </c>
      <c r="F26" s="12">
        <v>93310.09</v>
      </c>
      <c r="G26" s="12">
        <v>508422.67914000002</v>
      </c>
      <c r="H26" s="12">
        <v>890707.54017000005</v>
      </c>
      <c r="I26" s="12">
        <v>5900813.63748</v>
      </c>
      <c r="J26" s="12">
        <v>774.91219999999998</v>
      </c>
      <c r="K26" s="16">
        <v>5901588.5496800002</v>
      </c>
      <c r="L26" s="12">
        <v>5788825.2296799999</v>
      </c>
      <c r="M26" s="12">
        <v>19355.39</v>
      </c>
      <c r="N26" s="12">
        <v>14897956.178300001</v>
      </c>
      <c r="O26" s="16">
        <v>14917311.568299999</v>
      </c>
      <c r="P26" s="12">
        <v>14315109.9483</v>
      </c>
      <c r="Q26" s="12">
        <v>93145.400649999996</v>
      </c>
      <c r="R26" s="12">
        <v>1010361.04</v>
      </c>
      <c r="S26" s="12">
        <v>347187.14493000001</v>
      </c>
      <c r="T26" s="13">
        <f t="shared" si="7"/>
        <v>7351507.2230599998</v>
      </c>
      <c r="U26" s="14">
        <f t="shared" si="1"/>
        <v>-0.38042672181510451</v>
      </c>
      <c r="V26" s="14">
        <f t="shared" si="2"/>
        <v>12.991708632986807</v>
      </c>
      <c r="W26" s="15">
        <f t="shared" si="3"/>
        <v>77.528931841638283</v>
      </c>
      <c r="X26" s="15">
        <f t="shared" si="4"/>
        <v>30.672005094928512</v>
      </c>
      <c r="Y26" s="15">
        <f t="shared" ref="Y26:Y57" si="8">STDEV(U27:U119)</f>
        <v>10.470391409719831</v>
      </c>
      <c r="Z26" s="14">
        <f t="shared" ref="Z26:Z57" si="9">(STDEV(U27:U119) / AVERAGE(U27:U119)) * 100</f>
        <v>-553.24119711067624</v>
      </c>
    </row>
    <row r="27" spans="1:26" s="1" customFormat="1" ht="12" x14ac:dyDescent="0.2">
      <c r="A27" s="24">
        <v>45135</v>
      </c>
      <c r="B27" s="10">
        <v>2258782.4079999998</v>
      </c>
      <c r="C27" s="10">
        <v>16908980.870000001</v>
      </c>
      <c r="D27" s="11">
        <v>19167763.280000001</v>
      </c>
      <c r="E27" s="10">
        <v>19017304.079999998</v>
      </c>
      <c r="F27" s="10">
        <v>45027.68</v>
      </c>
      <c r="G27" s="10">
        <v>505701.17680000002</v>
      </c>
      <c r="H27" s="10">
        <v>820773.68969999999</v>
      </c>
      <c r="I27" s="10">
        <v>5838606.6069999998</v>
      </c>
      <c r="J27" s="10">
        <v>753.25219000000004</v>
      </c>
      <c r="K27" s="11">
        <v>5839359.8590000002</v>
      </c>
      <c r="L27" s="10">
        <v>5726792.6890000002</v>
      </c>
      <c r="M27" s="10">
        <v>20836.39</v>
      </c>
      <c r="N27" s="12">
        <v>14766287.01</v>
      </c>
      <c r="O27" s="11">
        <v>14787123.4</v>
      </c>
      <c r="P27" s="10">
        <v>14176843.68</v>
      </c>
      <c r="Q27" s="10">
        <v>96923.662890000007</v>
      </c>
      <c r="R27" s="10">
        <v>899279.48</v>
      </c>
      <c r="S27" s="10">
        <v>349918.96350000001</v>
      </c>
      <c r="T27" s="13">
        <f t="shared" si="7"/>
        <v>7184728.7133900002</v>
      </c>
      <c r="U27" s="14">
        <f t="shared" si="1"/>
        <v>-6.1274129007308373E-2</v>
      </c>
      <c r="V27" s="14">
        <f t="shared" si="2"/>
        <v>13.358477517752373</v>
      </c>
      <c r="W27" s="15">
        <f t="shared" si="3"/>
        <v>77.145795176994696</v>
      </c>
      <c r="X27" s="15">
        <f t="shared" si="4"/>
        <v>30.464482337868269</v>
      </c>
      <c r="Y27" s="15">
        <f t="shared" si="8"/>
        <v>10.527240114703305</v>
      </c>
      <c r="Z27" s="14">
        <f t="shared" si="9"/>
        <v>-550.32822104609465</v>
      </c>
    </row>
    <row r="28" spans="1:26" s="1" customFormat="1" ht="12" x14ac:dyDescent="0.2">
      <c r="A28" s="24">
        <v>45107</v>
      </c>
      <c r="B28" s="12">
        <v>2448921.298</v>
      </c>
      <c r="C28" s="12">
        <v>16707097.1</v>
      </c>
      <c r="D28" s="16">
        <v>19156018.399999999</v>
      </c>
      <c r="E28" s="12"/>
      <c r="F28" s="12">
        <v>50866.68</v>
      </c>
      <c r="G28" s="12">
        <v>358882.04509999999</v>
      </c>
      <c r="H28" s="12">
        <v>824872.83420000004</v>
      </c>
      <c r="I28" s="12">
        <v>5669864.7470000004</v>
      </c>
      <c r="J28" s="12">
        <v>755.75220000000002</v>
      </c>
      <c r="K28" s="16">
        <v>5670620.4989999998</v>
      </c>
      <c r="L28" s="12"/>
      <c r="M28" s="12">
        <v>27906.2</v>
      </c>
      <c r="N28" s="12">
        <v>14355811.960000001</v>
      </c>
      <c r="O28" s="16">
        <v>14383718.16</v>
      </c>
      <c r="P28" s="12"/>
      <c r="Q28" s="12">
        <v>113881.6093</v>
      </c>
      <c r="R28" s="12">
        <v>871167.14</v>
      </c>
      <c r="S28" s="12">
        <v>335422.65029999998</v>
      </c>
      <c r="T28" s="13">
        <f t="shared" si="7"/>
        <v>6990336.1466000006</v>
      </c>
      <c r="U28" s="14">
        <f t="shared" si="1"/>
        <v>-4.0700634845913459</v>
      </c>
      <c r="V28" s="14">
        <f t="shared" si="2"/>
        <v>14.657970103016879</v>
      </c>
      <c r="W28" s="15">
        <f t="shared" si="3"/>
        <v>75.087201628497084</v>
      </c>
      <c r="X28" s="15">
        <f t="shared" si="4"/>
        <v>29.602291982555208</v>
      </c>
      <c r="Y28" s="15">
        <f t="shared" si="8"/>
        <v>10.584359271467344</v>
      </c>
      <c r="Z28" s="14">
        <f t="shared" si="9"/>
        <v>-560.41505503377255</v>
      </c>
    </row>
    <row r="29" spans="1:26" s="1" customFormat="1" ht="12" x14ac:dyDescent="0.2">
      <c r="A29" s="24">
        <v>45065</v>
      </c>
      <c r="B29" s="10">
        <v>2121659.378</v>
      </c>
      <c r="C29" s="10">
        <v>16254696.91</v>
      </c>
      <c r="D29" s="11">
        <v>18376356.289999999</v>
      </c>
      <c r="E29" s="10"/>
      <c r="F29" s="10">
        <v>69761.41</v>
      </c>
      <c r="G29" s="10">
        <v>358776.36090000003</v>
      </c>
      <c r="H29" s="10">
        <v>795001.91740000003</v>
      </c>
      <c r="I29" s="10">
        <v>5550541.3169999998</v>
      </c>
      <c r="J29" s="10">
        <v>786.35829999999999</v>
      </c>
      <c r="K29" s="11">
        <v>5551327.6749999998</v>
      </c>
      <c r="L29" s="10"/>
      <c r="M29" s="10">
        <v>36349.56</v>
      </c>
      <c r="N29" s="12">
        <v>13857620.890000001</v>
      </c>
      <c r="O29" s="11">
        <v>13893970.449999999</v>
      </c>
      <c r="P29" s="10"/>
      <c r="Q29" s="10">
        <v>95358.042369999996</v>
      </c>
      <c r="R29" s="10">
        <v>852417.08</v>
      </c>
      <c r="S29" s="10">
        <v>331613.0515</v>
      </c>
      <c r="T29" s="13">
        <f t="shared" si="7"/>
        <v>6829929.4908699999</v>
      </c>
      <c r="U29" s="14">
        <f t="shared" si="1"/>
        <v>-0.35125222313590332</v>
      </c>
      <c r="V29" s="14">
        <f t="shared" si="2"/>
        <v>13.052592673658165</v>
      </c>
      <c r="W29" s="15">
        <f t="shared" si="3"/>
        <v>75.607863880832497</v>
      </c>
      <c r="X29" s="15">
        <f t="shared" si="4"/>
        <v>30.209077291459067</v>
      </c>
      <c r="Y29" s="15">
        <f t="shared" si="8"/>
        <v>10.643724441589443</v>
      </c>
      <c r="Z29" s="14">
        <f t="shared" si="9"/>
        <v>-558.39302300954546</v>
      </c>
    </row>
    <row r="30" spans="1:26" s="1" customFormat="1" ht="12" x14ac:dyDescent="0.2">
      <c r="A30" s="24">
        <v>45037</v>
      </c>
      <c r="B30" s="12">
        <v>2139016.9389999998</v>
      </c>
      <c r="C30" s="12">
        <v>16172791.99</v>
      </c>
      <c r="D30" s="16">
        <v>18311808.93</v>
      </c>
      <c r="E30" s="12"/>
      <c r="F30" s="12">
        <v>36550.339999999997</v>
      </c>
      <c r="G30" s="12">
        <v>338133.2279</v>
      </c>
      <c r="H30" s="12">
        <v>739456.48640000005</v>
      </c>
      <c r="I30" s="12">
        <v>5444678.8559999997</v>
      </c>
      <c r="J30" s="12">
        <v>806.64255000000003</v>
      </c>
      <c r="K30" s="16">
        <v>5445485.4989999998</v>
      </c>
      <c r="L30" s="12"/>
      <c r="M30" s="12">
        <v>21292.13</v>
      </c>
      <c r="N30" s="12">
        <v>13838154.699999999</v>
      </c>
      <c r="O30" s="16">
        <v>13859446.83</v>
      </c>
      <c r="P30" s="12"/>
      <c r="Q30" s="12">
        <v>97294.541280000005</v>
      </c>
      <c r="R30" s="12">
        <v>838212.35</v>
      </c>
      <c r="S30" s="12">
        <v>326366.0736</v>
      </c>
      <c r="T30" s="13">
        <f t="shared" si="7"/>
        <v>6706551.8208799995</v>
      </c>
      <c r="U30" s="14">
        <f t="shared" si="1"/>
        <v>-1.4629643691897039</v>
      </c>
      <c r="V30" s="14">
        <f t="shared" si="2"/>
        <v>13.226021458277593</v>
      </c>
      <c r="W30" s="15">
        <f t="shared" si="3"/>
        <v>75.685842305258262</v>
      </c>
      <c r="X30" s="15">
        <f t="shared" si="4"/>
        <v>29.737561809520258</v>
      </c>
      <c r="Y30" s="15">
        <f t="shared" si="8"/>
        <v>10.705319820441298</v>
      </c>
      <c r="Z30" s="14">
        <f t="shared" si="9"/>
        <v>-560.1275780352139</v>
      </c>
    </row>
    <row r="31" spans="1:26" s="1" customFormat="1" ht="12" x14ac:dyDescent="0.2">
      <c r="A31" s="24">
        <v>45009</v>
      </c>
      <c r="B31" s="10">
        <v>2180430.5580000002</v>
      </c>
      <c r="C31" s="10">
        <v>15863483.130000001</v>
      </c>
      <c r="D31" s="11">
        <v>18043913.690000001</v>
      </c>
      <c r="E31" s="10"/>
      <c r="F31" s="10">
        <v>165084.70000000001</v>
      </c>
      <c r="G31" s="10">
        <v>351842.55619999999</v>
      </c>
      <c r="H31" s="10">
        <v>789651.05169999995</v>
      </c>
      <c r="I31" s="10">
        <v>5414321.608</v>
      </c>
      <c r="J31" s="10">
        <v>826.4547</v>
      </c>
      <c r="K31" s="11">
        <v>5415148.0630000001</v>
      </c>
      <c r="L31" s="10"/>
      <c r="M31" s="10">
        <v>19905.64</v>
      </c>
      <c r="N31" s="12">
        <v>13655329.689999999</v>
      </c>
      <c r="O31" s="11">
        <v>13675235.33</v>
      </c>
      <c r="P31" s="10"/>
      <c r="Q31" s="10">
        <v>90262.712419999996</v>
      </c>
      <c r="R31" s="10">
        <v>809907.42</v>
      </c>
      <c r="S31" s="10">
        <v>326601.05080000003</v>
      </c>
      <c r="T31" s="13">
        <f t="shared" si="7"/>
        <v>6641092.79122</v>
      </c>
      <c r="U31" s="14">
        <f t="shared" si="1"/>
        <v>-1.0089824365592039</v>
      </c>
      <c r="V31" s="14">
        <f t="shared" si="2"/>
        <v>13.744967231543933</v>
      </c>
      <c r="W31" s="15">
        <f t="shared" si="3"/>
        <v>75.788631917358714</v>
      </c>
      <c r="X31" s="15">
        <f t="shared" si="4"/>
        <v>30.010939733108422</v>
      </c>
      <c r="Y31" s="15">
        <f t="shared" si="8"/>
        <v>10.767658283367117</v>
      </c>
      <c r="Z31" s="14">
        <f t="shared" si="9"/>
        <v>-560.3135650454484</v>
      </c>
    </row>
    <row r="32" spans="1:26" s="1" customFormat="1" ht="12" x14ac:dyDescent="0.2">
      <c r="A32" s="24">
        <v>44981</v>
      </c>
      <c r="B32" s="12">
        <v>2150730.7429999998</v>
      </c>
      <c r="C32" s="12">
        <v>15711123.02</v>
      </c>
      <c r="D32" s="16">
        <v>17861853.77</v>
      </c>
      <c r="E32" s="12"/>
      <c r="F32" s="12">
        <v>109025.66</v>
      </c>
      <c r="G32" s="12">
        <v>344778.11949999997</v>
      </c>
      <c r="H32" s="12">
        <v>762949.27590000001</v>
      </c>
      <c r="I32" s="12">
        <v>5336711.1339999996</v>
      </c>
      <c r="J32" s="12">
        <v>846.9547</v>
      </c>
      <c r="K32" s="16">
        <v>5337558.0889999997</v>
      </c>
      <c r="L32" s="12"/>
      <c r="M32" s="12">
        <v>35276.43</v>
      </c>
      <c r="N32" s="12">
        <v>13414992.279999999</v>
      </c>
      <c r="O32" s="16">
        <v>13450268.710000001</v>
      </c>
      <c r="P32" s="12"/>
      <c r="Q32" s="12">
        <v>97232.948690000005</v>
      </c>
      <c r="R32" s="12">
        <v>797985.78</v>
      </c>
      <c r="S32" s="12">
        <v>323008.5722</v>
      </c>
      <c r="T32" s="13">
        <f t="shared" si="7"/>
        <v>6554938.4348900001</v>
      </c>
      <c r="U32" s="14">
        <f t="shared" si="1"/>
        <v>-0.79737266822333364</v>
      </c>
      <c r="V32" s="14">
        <f t="shared" si="2"/>
        <v>13.689223490021401</v>
      </c>
      <c r="W32" s="15">
        <f t="shared" si="3"/>
        <v>75.301639366180979</v>
      </c>
      <c r="X32" s="15">
        <f t="shared" si="4"/>
        <v>29.882441977913469</v>
      </c>
      <c r="Y32" s="15">
        <f t="shared" si="8"/>
        <v>10.830858959687486</v>
      </c>
      <c r="Z32" s="14">
        <f t="shared" si="9"/>
        <v>-559.74944365777833</v>
      </c>
    </row>
    <row r="33" spans="1:26" s="1" customFormat="1" ht="12" x14ac:dyDescent="0.2">
      <c r="A33" s="24">
        <v>44953</v>
      </c>
      <c r="B33" s="10">
        <v>2156747.2140000002</v>
      </c>
      <c r="C33" s="10">
        <v>15562681.01</v>
      </c>
      <c r="D33" s="11">
        <v>17719428.23</v>
      </c>
      <c r="E33" s="10"/>
      <c r="F33" s="10">
        <v>121621.85</v>
      </c>
      <c r="G33" s="10">
        <v>326191.00520000001</v>
      </c>
      <c r="H33" s="10">
        <v>731700.5575</v>
      </c>
      <c r="I33" s="10">
        <v>5193767.648</v>
      </c>
      <c r="J33" s="10">
        <v>852.98440000000005</v>
      </c>
      <c r="K33" s="11">
        <v>5194620.6320000002</v>
      </c>
      <c r="L33" s="10"/>
      <c r="M33" s="10">
        <v>50165.4</v>
      </c>
      <c r="N33" s="12">
        <v>13287370.82</v>
      </c>
      <c r="O33" s="11">
        <v>13337536.220000001</v>
      </c>
      <c r="P33" s="10"/>
      <c r="Q33" s="10">
        <v>110431.36440000001</v>
      </c>
      <c r="R33" s="10">
        <v>813572.82</v>
      </c>
      <c r="S33" s="10">
        <v>314825.74249999999</v>
      </c>
      <c r="T33" s="13">
        <f t="shared" si="7"/>
        <v>6432597.5748999994</v>
      </c>
      <c r="U33" s="14">
        <f t="shared" si="1"/>
        <v>8.1016019160787628E-2</v>
      </c>
      <c r="V33" s="14">
        <f t="shared" si="2"/>
        <v>13.858455446167369</v>
      </c>
      <c r="W33" s="15">
        <f t="shared" si="3"/>
        <v>75.27069184669736</v>
      </c>
      <c r="X33" s="15">
        <f t="shared" si="4"/>
        <v>29.315960789328471</v>
      </c>
      <c r="Y33" s="15">
        <f t="shared" si="8"/>
        <v>10.893635809600537</v>
      </c>
      <c r="Z33" s="14">
        <f t="shared" si="9"/>
        <v>-556.0964306363602</v>
      </c>
    </row>
    <row r="34" spans="1:26" s="1" customFormat="1" ht="12" x14ac:dyDescent="0.2">
      <c r="A34" s="24">
        <v>44925</v>
      </c>
      <c r="B34" s="12">
        <v>2201750.8188399998</v>
      </c>
      <c r="C34" s="12">
        <v>15532032.98653</v>
      </c>
      <c r="D34" s="16">
        <v>17733783.805369999</v>
      </c>
      <c r="E34" s="12"/>
      <c r="F34" s="12">
        <v>127472</v>
      </c>
      <c r="G34" s="12">
        <v>326294.28820000001</v>
      </c>
      <c r="H34" s="12">
        <v>752637.92351999995</v>
      </c>
      <c r="I34" s="12">
        <v>5095190.1131699998</v>
      </c>
      <c r="J34" s="12">
        <v>853.73649999999998</v>
      </c>
      <c r="K34" s="16">
        <v>5096043.8496700004</v>
      </c>
      <c r="L34" s="12"/>
      <c r="M34" s="12">
        <v>53972.42</v>
      </c>
      <c r="N34" s="12">
        <v>13252880.62999</v>
      </c>
      <c r="O34" s="16">
        <v>13306853.04999</v>
      </c>
      <c r="P34" s="12"/>
      <c r="Q34" s="12">
        <v>98614.79565</v>
      </c>
      <c r="R34" s="12">
        <v>841611.96</v>
      </c>
      <c r="S34" s="12">
        <v>316527.53589</v>
      </c>
      <c r="T34" s="13">
        <f t="shared" si="7"/>
        <v>6351944.4047099994</v>
      </c>
      <c r="U34" s="14">
        <f t="shared" si="1"/>
        <v>-2.4610086323926228</v>
      </c>
      <c r="V34" s="14">
        <f t="shared" si="2"/>
        <v>14.175548176786942</v>
      </c>
      <c r="W34" s="15">
        <f t="shared" si="3"/>
        <v>75.036738893594318</v>
      </c>
      <c r="X34" s="15">
        <f t="shared" si="4"/>
        <v>28.736359400788778</v>
      </c>
      <c r="Y34" s="15">
        <f t="shared" si="8"/>
        <v>10.959717201420988</v>
      </c>
      <c r="Z34" s="14">
        <f t="shared" si="9"/>
        <v>-561.20265076281589</v>
      </c>
    </row>
    <row r="35" spans="1:26" s="1" customFormat="1" ht="12" x14ac:dyDescent="0.2">
      <c r="A35" s="24">
        <v>44883</v>
      </c>
      <c r="B35" s="10">
        <v>2050864.56828</v>
      </c>
      <c r="C35" s="10">
        <v>15246489.28679</v>
      </c>
      <c r="D35" s="11">
        <v>17297353.855069999</v>
      </c>
      <c r="E35" s="10"/>
      <c r="F35" s="10">
        <v>97533.16</v>
      </c>
      <c r="G35" s="10">
        <v>310118.06721000001</v>
      </c>
      <c r="H35" s="10">
        <v>709771.93735999998</v>
      </c>
      <c r="I35" s="10">
        <v>5085789.7431399999</v>
      </c>
      <c r="J35" s="10">
        <v>822.30169999999998</v>
      </c>
      <c r="K35" s="11">
        <v>5086612.0448399996</v>
      </c>
      <c r="L35" s="10"/>
      <c r="M35" s="10">
        <v>52239.83</v>
      </c>
      <c r="N35" s="12">
        <v>12895573.469459999</v>
      </c>
      <c r="O35" s="11">
        <v>12947813.299459999</v>
      </c>
      <c r="P35" s="10"/>
      <c r="Q35" s="10">
        <v>112440.68558999999</v>
      </c>
      <c r="R35" s="10">
        <v>814570.36</v>
      </c>
      <c r="S35" s="10">
        <v>315810.73534999997</v>
      </c>
      <c r="T35" s="13">
        <f t="shared" si="7"/>
        <v>6328611.5240799999</v>
      </c>
      <c r="U35" s="14">
        <f t="shared" si="1"/>
        <v>-0.53910177800210923</v>
      </c>
      <c r="V35" s="14">
        <f t="shared" si="2"/>
        <v>13.451388904702991</v>
      </c>
      <c r="W35" s="15">
        <f t="shared" si="3"/>
        <v>74.854300882934695</v>
      </c>
      <c r="X35" s="15">
        <f t="shared" si="4"/>
        <v>29.406879731196984</v>
      </c>
      <c r="Y35" s="15">
        <f t="shared" si="8"/>
        <v>11.026029638392853</v>
      </c>
      <c r="Z35" s="14">
        <f t="shared" si="9"/>
        <v>-559.6572336519323</v>
      </c>
    </row>
    <row r="36" spans="1:26" s="1" customFormat="1" ht="12" x14ac:dyDescent="0.2">
      <c r="A36" s="24">
        <v>44855</v>
      </c>
      <c r="B36" s="12">
        <v>2025648.8733999999</v>
      </c>
      <c r="C36" s="12">
        <v>15178454.639490001</v>
      </c>
      <c r="D36" s="16">
        <v>17204103.51289</v>
      </c>
      <c r="E36" s="12"/>
      <c r="F36" s="12">
        <v>145382</v>
      </c>
      <c r="G36" s="12">
        <v>295604.08497000003</v>
      </c>
      <c r="H36" s="12">
        <v>711772.16893000004</v>
      </c>
      <c r="I36" s="12">
        <v>5050880.3370899996</v>
      </c>
      <c r="J36" s="12">
        <v>879.06780000000003</v>
      </c>
      <c r="K36" s="16">
        <v>5051759.4048899999</v>
      </c>
      <c r="L36" s="12"/>
      <c r="M36" s="12">
        <v>25654.6</v>
      </c>
      <c r="N36" s="12">
        <v>12857749.30972</v>
      </c>
      <c r="O36" s="16">
        <v>12883403.90972</v>
      </c>
      <c r="P36" s="12"/>
      <c r="Q36" s="12">
        <v>117173.01412000001</v>
      </c>
      <c r="R36" s="12">
        <v>793425.43</v>
      </c>
      <c r="S36" s="12">
        <v>297850.85765999998</v>
      </c>
      <c r="T36" s="13">
        <f t="shared" si="7"/>
        <v>6259329.6388699999</v>
      </c>
      <c r="U36" s="14">
        <f t="shared" si="1"/>
        <v>-1.0003944421227737</v>
      </c>
      <c r="V36" s="14">
        <f t="shared" si="2"/>
        <v>13.345554086447251</v>
      </c>
      <c r="W36" s="15">
        <f t="shared" si="3"/>
        <v>74.88564516057022</v>
      </c>
      <c r="X36" s="15">
        <f t="shared" si="4"/>
        <v>29.363688733359577</v>
      </c>
      <c r="Y36" s="15">
        <f t="shared" si="8"/>
        <v>11.094191994353821</v>
      </c>
      <c r="Z36" s="14">
        <f t="shared" si="9"/>
        <v>-559.71572037369879</v>
      </c>
    </row>
    <row r="37" spans="1:26" s="1" customFormat="1" ht="12" x14ac:dyDescent="0.2">
      <c r="A37" s="24">
        <v>44827</v>
      </c>
      <c r="B37" s="10">
        <v>1981190.6259999999</v>
      </c>
      <c r="C37" s="10">
        <v>15050803.991529999</v>
      </c>
      <c r="D37" s="11">
        <v>17031994.617529999</v>
      </c>
      <c r="E37" s="10"/>
      <c r="F37" s="10">
        <v>103965.16</v>
      </c>
      <c r="G37" s="10">
        <v>289963.85434999998</v>
      </c>
      <c r="H37" s="10">
        <v>691762.80397999997</v>
      </c>
      <c r="I37" s="10">
        <v>5074818.4973400002</v>
      </c>
      <c r="J37" s="10">
        <v>803.4873</v>
      </c>
      <c r="K37" s="11">
        <v>5075621.9846400004</v>
      </c>
      <c r="L37" s="10"/>
      <c r="M37" s="10">
        <v>21788.18</v>
      </c>
      <c r="N37" s="12">
        <v>12608086.605900001</v>
      </c>
      <c r="O37" s="11">
        <v>12629874.7859</v>
      </c>
      <c r="P37" s="10"/>
      <c r="Q37" s="10">
        <v>110168.19542</v>
      </c>
      <c r="R37" s="10">
        <v>767170.74</v>
      </c>
      <c r="S37" s="10">
        <v>297783.58516000002</v>
      </c>
      <c r="T37" s="13">
        <f t="shared" si="7"/>
        <v>6249941.0179200005</v>
      </c>
      <c r="U37" s="14">
        <f t="shared" si="1"/>
        <v>-0.22392699666980909</v>
      </c>
      <c r="V37" s="14">
        <f t="shared" si="2"/>
        <v>13.163354111281603</v>
      </c>
      <c r="W37" s="15">
        <f t="shared" si="3"/>
        <v>74.153820908919471</v>
      </c>
      <c r="X37" s="15">
        <f t="shared" si="4"/>
        <v>29.800514259298616</v>
      </c>
      <c r="Y37" s="15">
        <f t="shared" si="8"/>
        <v>11.162413097293266</v>
      </c>
      <c r="Z37" s="14">
        <f t="shared" si="9"/>
        <v>-556.98184187758989</v>
      </c>
    </row>
    <row r="38" spans="1:26" s="1" customFormat="1" ht="12" x14ac:dyDescent="0.2">
      <c r="A38" s="24">
        <v>44799</v>
      </c>
      <c r="B38" s="12">
        <v>2022999.3059700001</v>
      </c>
      <c r="C38" s="12">
        <v>14970856.077540001</v>
      </c>
      <c r="D38" s="16">
        <v>16993855.383510001</v>
      </c>
      <c r="E38" s="12"/>
      <c r="F38" s="12">
        <v>98308.18</v>
      </c>
      <c r="G38" s="12">
        <v>278245.15630999999</v>
      </c>
      <c r="H38" s="12">
        <v>662206.35199</v>
      </c>
      <c r="I38" s="12">
        <v>5066468.2727800002</v>
      </c>
      <c r="J38" s="12">
        <v>790.48599999999999</v>
      </c>
      <c r="K38" s="16">
        <v>5067258.7587799998</v>
      </c>
      <c r="L38" s="12"/>
      <c r="M38" s="12">
        <v>27760.98</v>
      </c>
      <c r="N38" s="12">
        <v>12430896.912219999</v>
      </c>
      <c r="O38" s="16">
        <v>12458657.89222</v>
      </c>
      <c r="P38" s="12"/>
      <c r="Q38" s="12">
        <v>108528.12656</v>
      </c>
      <c r="R38" s="12">
        <v>764113.62</v>
      </c>
      <c r="S38" s="12">
        <v>292464.09493999998</v>
      </c>
      <c r="T38" s="13">
        <f t="shared" si="7"/>
        <v>6231574.1142800003</v>
      </c>
      <c r="U38" s="14">
        <f t="shared" si="1"/>
        <v>-0.12676439073915546</v>
      </c>
      <c r="V38" s="14">
        <f t="shared" si="2"/>
        <v>13.512916666168485</v>
      </c>
      <c r="W38" s="15">
        <f t="shared" si="3"/>
        <v>73.312721634134107</v>
      </c>
      <c r="X38" s="15">
        <f t="shared" si="4"/>
        <v>29.818182186586206</v>
      </c>
      <c r="Y38" s="15">
        <f t="shared" si="8"/>
        <v>11.231702422311685</v>
      </c>
      <c r="Z38" s="14">
        <f t="shared" si="9"/>
        <v>-553.87167324208372</v>
      </c>
    </row>
    <row r="39" spans="1:26" s="1" customFormat="1" ht="12" x14ac:dyDescent="0.2">
      <c r="A39" s="24">
        <v>44771</v>
      </c>
      <c r="B39" s="10">
        <v>2042035.04287</v>
      </c>
      <c r="C39" s="10">
        <v>14930278.1834</v>
      </c>
      <c r="D39" s="11">
        <v>16972313.226270001</v>
      </c>
      <c r="E39" s="10"/>
      <c r="F39" s="10">
        <v>94387</v>
      </c>
      <c r="G39" s="10">
        <v>273312.97781999997</v>
      </c>
      <c r="H39" s="10">
        <v>660484.44972999999</v>
      </c>
      <c r="I39" s="10">
        <v>5013472.1213999996</v>
      </c>
      <c r="J39" s="10">
        <v>824.72320000000002</v>
      </c>
      <c r="K39" s="11">
        <v>5014296.8446000004</v>
      </c>
      <c r="L39" s="10"/>
      <c r="M39" s="10">
        <v>32344.5</v>
      </c>
      <c r="N39" s="12">
        <v>12337005.504070001</v>
      </c>
      <c r="O39" s="11">
        <v>12369350.004070001</v>
      </c>
      <c r="P39" s="10"/>
      <c r="Q39" s="10">
        <v>108463.00185</v>
      </c>
      <c r="R39" s="10">
        <v>834456.52</v>
      </c>
      <c r="S39" s="10">
        <v>276885.03103999997</v>
      </c>
      <c r="T39" s="13">
        <f t="shared" si="7"/>
        <v>6233276.6742899995</v>
      </c>
      <c r="U39" s="14">
        <f t="shared" si="1"/>
        <v>-2.3744332514806397</v>
      </c>
      <c r="V39" s="14">
        <f t="shared" si="2"/>
        <v>13.677139955372066</v>
      </c>
      <c r="W39" s="15">
        <f t="shared" si="3"/>
        <v>72.879576514794309</v>
      </c>
      <c r="X39" s="15">
        <f t="shared" si="4"/>
        <v>29.543980114854328</v>
      </c>
      <c r="Y39" s="15">
        <f t="shared" si="8"/>
        <v>11.304330400970905</v>
      </c>
      <c r="Z39" s="14">
        <f t="shared" si="9"/>
        <v>-558.67734274278757</v>
      </c>
    </row>
    <row r="40" spans="1:26" s="1" customFormat="1" ht="12" x14ac:dyDescent="0.2">
      <c r="A40" s="24">
        <v>44729</v>
      </c>
      <c r="B40" s="12">
        <v>1946297.52599</v>
      </c>
      <c r="C40" s="12">
        <v>14623019.45149</v>
      </c>
      <c r="D40" s="16">
        <v>16569316.97748</v>
      </c>
      <c r="E40" s="12"/>
      <c r="F40" s="12">
        <v>94301.68</v>
      </c>
      <c r="G40" s="12">
        <v>284387.61109999998</v>
      </c>
      <c r="H40" s="12">
        <v>666773.34456999996</v>
      </c>
      <c r="I40" s="12">
        <v>4880839.8307800004</v>
      </c>
      <c r="J40" s="12">
        <v>736.41669999999999</v>
      </c>
      <c r="K40" s="16">
        <v>4881576.2474800004</v>
      </c>
      <c r="L40" s="12"/>
      <c r="M40" s="12">
        <v>43558.86</v>
      </c>
      <c r="N40" s="12">
        <v>12106794.54156</v>
      </c>
      <c r="O40" s="16">
        <v>12150353.401559999</v>
      </c>
      <c r="P40" s="12"/>
      <c r="Q40" s="12">
        <v>110188.73205000001</v>
      </c>
      <c r="R40" s="12">
        <v>800141.51</v>
      </c>
      <c r="S40" s="12">
        <v>286868.60174000001</v>
      </c>
      <c r="T40" s="13">
        <f t="shared" si="7"/>
        <v>6078038.6745700007</v>
      </c>
      <c r="U40" s="14">
        <f t="shared" si="1"/>
        <v>2.9917552345323919E-2</v>
      </c>
      <c r="V40" s="14">
        <f t="shared" si="2"/>
        <v>13.30981971573377</v>
      </c>
      <c r="W40" s="15">
        <f t="shared" si="3"/>
        <v>73.330442154459448</v>
      </c>
      <c r="X40" s="15">
        <f t="shared" si="4"/>
        <v>29.461541801117932</v>
      </c>
      <c r="Y40" s="15">
        <f t="shared" si="8"/>
        <v>11.375988274314247</v>
      </c>
      <c r="Z40" s="14">
        <f t="shared" si="9"/>
        <v>-554.90566343451815</v>
      </c>
    </row>
    <row r="41" spans="1:26" s="1" customFormat="1" ht="12" x14ac:dyDescent="0.2">
      <c r="A41" s="24">
        <v>44701</v>
      </c>
      <c r="B41" s="10">
        <v>1985767.49309</v>
      </c>
      <c r="C41" s="10">
        <v>14588506.61847</v>
      </c>
      <c r="D41" s="11">
        <v>16574274.11156</v>
      </c>
      <c r="E41" s="10"/>
      <c r="F41" s="10">
        <v>95275.9</v>
      </c>
      <c r="G41" s="10">
        <v>281120.36044000002</v>
      </c>
      <c r="H41" s="10">
        <v>637358.25381000002</v>
      </c>
      <c r="I41" s="10">
        <v>4770030.7135399999</v>
      </c>
      <c r="J41" s="10">
        <v>784.46860000000004</v>
      </c>
      <c r="K41" s="11">
        <v>4770815.1821400002</v>
      </c>
      <c r="L41" s="10"/>
      <c r="M41" s="10">
        <v>53253.78</v>
      </c>
      <c r="N41" s="12">
        <v>11984865.457529999</v>
      </c>
      <c r="O41" s="11">
        <v>12038119.237530001</v>
      </c>
      <c r="P41" s="10"/>
      <c r="Q41" s="10">
        <v>95731.932459999996</v>
      </c>
      <c r="R41" s="10">
        <v>810294.71</v>
      </c>
      <c r="S41" s="10">
        <v>287492.28058999998</v>
      </c>
      <c r="T41" s="13">
        <f t="shared" si="7"/>
        <v>5963549.6365900002</v>
      </c>
      <c r="U41" s="14">
        <f t="shared" si="1"/>
        <v>0.29685819752240794</v>
      </c>
      <c r="V41" s="14">
        <f t="shared" si="2"/>
        <v>13.611862715104017</v>
      </c>
      <c r="W41" s="15">
        <f t="shared" si="3"/>
        <v>72.631351192229985</v>
      </c>
      <c r="X41" s="15">
        <f t="shared" si="4"/>
        <v>28.784459277239279</v>
      </c>
      <c r="Y41" s="15">
        <f t="shared" si="8"/>
        <v>11.448327810940432</v>
      </c>
      <c r="Z41" s="14">
        <f t="shared" si="9"/>
        <v>-550.14730922261469</v>
      </c>
    </row>
    <row r="42" spans="1:26" s="1" customFormat="1" ht="12" x14ac:dyDescent="0.2">
      <c r="A42" s="24">
        <v>44673</v>
      </c>
      <c r="B42" s="12">
        <v>1994772.37316</v>
      </c>
      <c r="C42" s="12">
        <v>14628703.829779999</v>
      </c>
      <c r="D42" s="16">
        <v>16623476.20294</v>
      </c>
      <c r="E42" s="12"/>
      <c r="F42" s="12">
        <v>94388</v>
      </c>
      <c r="G42" s="12">
        <v>266830.16502999997</v>
      </c>
      <c r="H42" s="12">
        <v>610135.45366999996</v>
      </c>
      <c r="I42" s="12">
        <v>4770854.7917299997</v>
      </c>
      <c r="J42" s="12">
        <v>901.64620000000002</v>
      </c>
      <c r="K42" s="16">
        <v>4771756.43793</v>
      </c>
      <c r="L42" s="12"/>
      <c r="M42" s="12">
        <v>42552.09</v>
      </c>
      <c r="N42" s="12">
        <v>11913784.073820001</v>
      </c>
      <c r="O42" s="16">
        <v>11956336.16382</v>
      </c>
      <c r="P42" s="12"/>
      <c r="Q42" s="12">
        <v>103524.80314</v>
      </c>
      <c r="R42" s="12">
        <v>684948.57</v>
      </c>
      <c r="S42" s="12">
        <v>249196.09985</v>
      </c>
      <c r="T42" s="13">
        <f t="shared" si="7"/>
        <v>5808524.2647199994</v>
      </c>
      <c r="U42" s="14">
        <f t="shared" si="1"/>
        <v>-0.95144459154714989</v>
      </c>
      <c r="V42" s="14">
        <f t="shared" si="2"/>
        <v>13.63601585192527</v>
      </c>
      <c r="W42" s="15">
        <f t="shared" si="3"/>
        <v>71.924403884341729</v>
      </c>
      <c r="X42" s="15">
        <f t="shared" si="4"/>
        <v>28.704925369857808</v>
      </c>
      <c r="Y42" s="15">
        <f t="shared" si="8"/>
        <v>11.524663867146252</v>
      </c>
      <c r="Z42" s="14">
        <f t="shared" si="9"/>
        <v>-549.83638503555187</v>
      </c>
    </row>
    <row r="43" spans="1:26" s="1" customFormat="1" ht="12" x14ac:dyDescent="0.2">
      <c r="A43" s="24">
        <v>44645</v>
      </c>
      <c r="B43" s="10">
        <v>2072746.5225500001</v>
      </c>
      <c r="C43" s="10">
        <v>14392566.51513</v>
      </c>
      <c r="D43" s="11">
        <v>16465313.03768</v>
      </c>
      <c r="E43" s="10"/>
      <c r="F43" s="10">
        <v>94299.27</v>
      </c>
      <c r="G43" s="10">
        <v>258648.68302</v>
      </c>
      <c r="H43" s="10">
        <v>640848.16108999995</v>
      </c>
      <c r="I43" s="10">
        <v>4728178.72927</v>
      </c>
      <c r="J43" s="10">
        <v>768.86630000000002</v>
      </c>
      <c r="K43" s="11">
        <v>4728947.5955699999</v>
      </c>
      <c r="L43" s="10"/>
      <c r="M43" s="10">
        <v>55010.54</v>
      </c>
      <c r="N43" s="12">
        <v>11836303.729970001</v>
      </c>
      <c r="O43" s="11">
        <v>11891314.26997</v>
      </c>
      <c r="P43" s="10"/>
      <c r="Q43" s="10">
        <v>85925.801500000001</v>
      </c>
      <c r="R43" s="10">
        <v>683437.05</v>
      </c>
      <c r="S43" s="10">
        <v>243637.20921999999</v>
      </c>
      <c r="T43" s="13">
        <f t="shared" si="7"/>
        <v>5741178.7899900004</v>
      </c>
      <c r="U43" s="14">
        <f t="shared" si="1"/>
        <v>-1.5048880501266981</v>
      </c>
      <c r="V43" s="14">
        <f t="shared" si="2"/>
        <v>14.401507336242304</v>
      </c>
      <c r="W43" s="15">
        <f t="shared" si="3"/>
        <v>72.220395948484878</v>
      </c>
      <c r="X43" s="15">
        <f t="shared" si="4"/>
        <v>28.720666195340794</v>
      </c>
      <c r="Y43" s="15">
        <f t="shared" si="8"/>
        <v>11.603122372108283</v>
      </c>
      <c r="Z43" s="14">
        <f t="shared" si="9"/>
        <v>-551.47784098482737</v>
      </c>
    </row>
    <row r="44" spans="1:26" s="1" customFormat="1" ht="12" x14ac:dyDescent="0.2">
      <c r="A44" s="24">
        <v>44617</v>
      </c>
      <c r="B44" s="12">
        <v>1963975.8554400001</v>
      </c>
      <c r="C44" s="12">
        <v>14253552.65392</v>
      </c>
      <c r="D44" s="16">
        <v>16217528.50936</v>
      </c>
      <c r="E44" s="12"/>
      <c r="F44" s="12">
        <v>96123.26</v>
      </c>
      <c r="G44" s="12">
        <v>251956.33773999999</v>
      </c>
      <c r="H44" s="12">
        <v>638266.15910000005</v>
      </c>
      <c r="I44" s="12">
        <v>4669022.6238099998</v>
      </c>
      <c r="J44" s="12">
        <v>1208.8237999999999</v>
      </c>
      <c r="K44" s="16">
        <v>4670231.4476100001</v>
      </c>
      <c r="L44" s="12"/>
      <c r="M44" s="12">
        <v>68224.2</v>
      </c>
      <c r="N44" s="12">
        <v>11575492.66027</v>
      </c>
      <c r="O44" s="16">
        <v>11643716.860269999</v>
      </c>
      <c r="P44" s="12"/>
      <c r="Q44" s="12">
        <v>88258.186629999997</v>
      </c>
      <c r="R44" s="12">
        <v>664473.09</v>
      </c>
      <c r="S44" s="12">
        <v>232822.71664</v>
      </c>
      <c r="T44" s="13">
        <f t="shared" si="7"/>
        <v>5654576.6170799993</v>
      </c>
      <c r="U44" s="14">
        <f t="shared" si="1"/>
        <v>-1.1407552151564053</v>
      </c>
      <c r="V44" s="14">
        <f t="shared" si="2"/>
        <v>13.778851512502527</v>
      </c>
      <c r="W44" s="15">
        <f t="shared" si="3"/>
        <v>71.797110475556053</v>
      </c>
      <c r="X44" s="15">
        <f t="shared" si="4"/>
        <v>28.797430168934561</v>
      </c>
      <c r="Y44" s="15">
        <f t="shared" si="8"/>
        <v>11.682862686851864</v>
      </c>
      <c r="Z44" s="14">
        <f t="shared" si="9"/>
        <v>-551.80712878916029</v>
      </c>
    </row>
    <row r="45" spans="1:26" s="1" customFormat="1" ht="12" x14ac:dyDescent="0.2">
      <c r="A45" s="24">
        <v>44589</v>
      </c>
      <c r="B45" s="10">
        <v>1912236.81687</v>
      </c>
      <c r="C45" s="10">
        <v>14120289.390249999</v>
      </c>
      <c r="D45" s="11">
        <v>16032526.207119999</v>
      </c>
      <c r="E45" s="10"/>
      <c r="F45" s="10">
        <v>94286</v>
      </c>
      <c r="G45" s="10">
        <v>266584.15950000001</v>
      </c>
      <c r="H45" s="10">
        <v>605808.98019999999</v>
      </c>
      <c r="I45" s="10">
        <v>4579445.9023000002</v>
      </c>
      <c r="J45" s="10">
        <v>1230.7399</v>
      </c>
      <c r="K45" s="11">
        <v>4580676.6421999997</v>
      </c>
      <c r="L45" s="10"/>
      <c r="M45" s="10">
        <v>82389.88</v>
      </c>
      <c r="N45" s="12">
        <v>11386586.98226</v>
      </c>
      <c r="O45" s="11">
        <v>11468976.862260001</v>
      </c>
      <c r="P45" s="10"/>
      <c r="Q45" s="10">
        <v>88817.891099999993</v>
      </c>
      <c r="R45" s="10">
        <v>681336.44</v>
      </c>
      <c r="S45" s="10">
        <v>240867.97239000001</v>
      </c>
      <c r="T45" s="13">
        <f t="shared" si="7"/>
        <v>5590468.20579</v>
      </c>
      <c r="U45" s="14">
        <f t="shared" si="1"/>
        <v>1.3056433752594685</v>
      </c>
      <c r="V45" s="14">
        <f t="shared" si="2"/>
        <v>13.542476106689369</v>
      </c>
      <c r="W45" s="15">
        <f t="shared" si="3"/>
        <v>71.535681364841068</v>
      </c>
      <c r="X45" s="15">
        <f t="shared" si="4"/>
        <v>28.571147073289886</v>
      </c>
      <c r="Y45" s="15">
        <f t="shared" si="8"/>
        <v>11.75773621295372</v>
      </c>
      <c r="Z45" s="14">
        <f t="shared" si="9"/>
        <v>-543.14776019534486</v>
      </c>
    </row>
    <row r="46" spans="1:26" s="1" customFormat="1" ht="12" x14ac:dyDescent="0.2">
      <c r="A46" s="24">
        <v>44561</v>
      </c>
      <c r="B46" s="12">
        <v>2066650.5178400001</v>
      </c>
      <c r="C46" s="12">
        <v>14175203.30559</v>
      </c>
      <c r="D46" s="16">
        <v>16241853.82343</v>
      </c>
      <c r="E46" s="12"/>
      <c r="F46" s="12">
        <v>102488.93</v>
      </c>
      <c r="G46" s="12">
        <v>250071.45447</v>
      </c>
      <c r="H46" s="12">
        <v>632732.38765000005</v>
      </c>
      <c r="I46" s="12">
        <v>4607365.0957300002</v>
      </c>
      <c r="J46" s="12">
        <v>869.42462999999998</v>
      </c>
      <c r="K46" s="16">
        <v>4608234.5203600004</v>
      </c>
      <c r="L46" s="12"/>
      <c r="M46" s="12">
        <v>88679.84</v>
      </c>
      <c r="N46" s="12">
        <v>11493407.3094</v>
      </c>
      <c r="O46" s="16">
        <v>11582087.1494</v>
      </c>
      <c r="P46" s="12"/>
      <c r="Q46" s="12">
        <v>94182.308950000006</v>
      </c>
      <c r="R46" s="12">
        <v>716432.27</v>
      </c>
      <c r="S46" s="12">
        <v>226892.12237</v>
      </c>
      <c r="T46" s="13">
        <f t="shared" si="7"/>
        <v>5644871.7970500002</v>
      </c>
      <c r="U46" s="14">
        <f t="shared" si="1"/>
        <v>-2.8490475809015567</v>
      </c>
      <c r="V46" s="14">
        <f t="shared" si="2"/>
        <v>14.579335994602738</v>
      </c>
      <c r="W46" s="15">
        <f t="shared" si="3"/>
        <v>71.310130452547455</v>
      </c>
      <c r="X46" s="15">
        <f t="shared" si="4"/>
        <v>28.372589548320544</v>
      </c>
      <c r="Y46" s="15">
        <f t="shared" si="8"/>
        <v>11.841135773300389</v>
      </c>
      <c r="Z46" s="14">
        <f t="shared" si="9"/>
        <v>-549.44671489465998</v>
      </c>
    </row>
    <row r="47" spans="1:26" s="1" customFormat="1" ht="12" x14ac:dyDescent="0.2">
      <c r="A47" s="24">
        <v>44519</v>
      </c>
      <c r="B47" s="10">
        <v>1820862.05015</v>
      </c>
      <c r="C47" s="10">
        <v>13958253.629830001</v>
      </c>
      <c r="D47" s="11">
        <v>15779115.67998</v>
      </c>
      <c r="E47" s="10"/>
      <c r="F47" s="10">
        <v>101927.79</v>
      </c>
      <c r="G47" s="10">
        <v>242589.79498999999</v>
      </c>
      <c r="H47" s="10">
        <v>608764.13944000006</v>
      </c>
      <c r="I47" s="10">
        <v>4582872.9081899999</v>
      </c>
      <c r="J47" s="10">
        <v>1622.2368300000001</v>
      </c>
      <c r="K47" s="11">
        <v>4584495.1450199997</v>
      </c>
      <c r="L47" s="10"/>
      <c r="M47" s="10">
        <v>82415.320000000007</v>
      </c>
      <c r="N47" s="12">
        <v>11079778.159779999</v>
      </c>
      <c r="O47" s="11">
        <v>11162193.47978</v>
      </c>
      <c r="P47" s="10"/>
      <c r="Q47" s="10">
        <v>98432.184460000004</v>
      </c>
      <c r="R47" s="10">
        <v>683603.8</v>
      </c>
      <c r="S47" s="10">
        <v>219798.00031</v>
      </c>
      <c r="T47" s="13">
        <f t="shared" si="7"/>
        <v>5584706.8929599999</v>
      </c>
      <c r="U47" s="14">
        <f t="shared" si="1"/>
        <v>-0.41887526443486689</v>
      </c>
      <c r="V47" s="14">
        <f t="shared" si="2"/>
        <v>13.04505634041969</v>
      </c>
      <c r="W47" s="15">
        <f t="shared" si="3"/>
        <v>70.740298164758414</v>
      </c>
      <c r="X47" s="15">
        <f t="shared" si="4"/>
        <v>29.054195672300253</v>
      </c>
      <c r="Y47" s="15">
        <f t="shared" si="8"/>
        <v>11.924774601627869</v>
      </c>
      <c r="Z47" s="14">
        <f t="shared" si="9"/>
        <v>-547.03185118449164</v>
      </c>
    </row>
    <row r="48" spans="1:26" s="1" customFormat="1" ht="12" x14ac:dyDescent="0.2">
      <c r="A48" s="24">
        <v>44491</v>
      </c>
      <c r="B48" s="12">
        <v>1822964.63328</v>
      </c>
      <c r="C48" s="12">
        <v>13890056.234169999</v>
      </c>
      <c r="D48" s="16">
        <v>15713020.867450001</v>
      </c>
      <c r="E48" s="12"/>
      <c r="F48" s="12">
        <v>93603</v>
      </c>
      <c r="G48" s="12">
        <v>250216.93419999999</v>
      </c>
      <c r="H48" s="12">
        <v>570504.64284999995</v>
      </c>
      <c r="I48" s="12">
        <v>4637469.0915299999</v>
      </c>
      <c r="J48" s="12">
        <v>1188.8479299999999</v>
      </c>
      <c r="K48" s="16">
        <v>4638657.93946</v>
      </c>
      <c r="L48" s="12"/>
      <c r="M48" s="12">
        <v>63697.47</v>
      </c>
      <c r="N48" s="12">
        <v>10980921.672590001</v>
      </c>
      <c r="O48" s="16">
        <v>11044619.142589999</v>
      </c>
      <c r="P48" s="12"/>
      <c r="Q48" s="12">
        <v>107400.61459</v>
      </c>
      <c r="R48" s="12">
        <v>638588.93000000005</v>
      </c>
      <c r="S48" s="12">
        <v>232591.40104999999</v>
      </c>
      <c r="T48" s="13">
        <f t="shared" si="7"/>
        <v>5616050.0371700004</v>
      </c>
      <c r="U48" s="14">
        <f t="shared" si="1"/>
        <v>-0.72597950745617701</v>
      </c>
      <c r="V48" s="14">
        <f t="shared" si="2"/>
        <v>13.124242282010684</v>
      </c>
      <c r="W48" s="15">
        <f t="shared" si="3"/>
        <v>70.289597625808938</v>
      </c>
      <c r="X48" s="15">
        <f t="shared" si="4"/>
        <v>29.521108503515837</v>
      </c>
      <c r="Y48" s="15">
        <f t="shared" si="8"/>
        <v>12.010823957969134</v>
      </c>
      <c r="Z48" s="14">
        <f t="shared" si="9"/>
        <v>-545.70435741065216</v>
      </c>
    </row>
    <row r="49" spans="1:26" s="1" customFormat="1" ht="12" x14ac:dyDescent="0.2">
      <c r="A49" s="24">
        <v>44463</v>
      </c>
      <c r="B49" s="10">
        <v>1823739.2174</v>
      </c>
      <c r="C49" s="10">
        <v>13775208.33855</v>
      </c>
      <c r="D49" s="11">
        <v>15598947.555950001</v>
      </c>
      <c r="E49" s="10"/>
      <c r="F49" s="10">
        <v>92381.81</v>
      </c>
      <c r="G49" s="10">
        <v>227942.54753000001</v>
      </c>
      <c r="H49" s="10">
        <v>583384.99208</v>
      </c>
      <c r="I49" s="10">
        <v>4662056.16952</v>
      </c>
      <c r="J49" s="10">
        <v>1262.3696299999999</v>
      </c>
      <c r="K49" s="11">
        <v>4663318.5391499996</v>
      </c>
      <c r="L49" s="10"/>
      <c r="M49" s="10">
        <v>62341.83</v>
      </c>
      <c r="N49" s="12">
        <v>10894475.04652</v>
      </c>
      <c r="O49" s="11">
        <v>10956816.87652</v>
      </c>
      <c r="P49" s="10"/>
      <c r="Q49" s="10">
        <v>98702.509229999996</v>
      </c>
      <c r="R49" s="10">
        <v>638826.02</v>
      </c>
      <c r="S49" s="10">
        <v>201008.76793</v>
      </c>
      <c r="T49" s="13">
        <f t="shared" si="7"/>
        <v>5600593.4666799996</v>
      </c>
      <c r="U49" s="14">
        <f t="shared" si="1"/>
        <v>-0.52501789115101571</v>
      </c>
      <c r="V49" s="14">
        <f t="shared" si="2"/>
        <v>13.239285915525903</v>
      </c>
      <c r="W49" s="15">
        <f t="shared" si="3"/>
        <v>70.240744365735594</v>
      </c>
      <c r="X49" s="15">
        <f t="shared" si="4"/>
        <v>29.895084411455962</v>
      </c>
      <c r="Y49" s="15">
        <f t="shared" si="8"/>
        <v>12.098367055785536</v>
      </c>
      <c r="Z49" s="14">
        <f t="shared" si="9"/>
        <v>-543.59467181218236</v>
      </c>
    </row>
    <row r="50" spans="1:26" s="1" customFormat="1" ht="12" x14ac:dyDescent="0.2">
      <c r="A50" s="24">
        <v>44435</v>
      </c>
      <c r="B50" s="12">
        <v>1790996.16762</v>
      </c>
      <c r="C50" s="12">
        <v>13726054.12283</v>
      </c>
      <c r="D50" s="16">
        <v>15517050.290449999</v>
      </c>
      <c r="E50" s="12"/>
      <c r="F50" s="12">
        <v>91806.33</v>
      </c>
      <c r="G50" s="12">
        <v>234250.92220999999</v>
      </c>
      <c r="H50" s="12">
        <v>556197.79567000002</v>
      </c>
      <c r="I50" s="12">
        <v>4591955.2114500003</v>
      </c>
      <c r="J50" s="12">
        <v>1324.1518000000001</v>
      </c>
      <c r="K50" s="16">
        <v>4593279.3632500004</v>
      </c>
      <c r="L50" s="12"/>
      <c r="M50" s="12">
        <v>68800.570000000007</v>
      </c>
      <c r="N50" s="12">
        <v>10828800.45207</v>
      </c>
      <c r="O50" s="16">
        <v>10897601.02207</v>
      </c>
      <c r="P50" s="12"/>
      <c r="Q50" s="12">
        <v>101720.84596999999</v>
      </c>
      <c r="R50" s="12">
        <v>641437.49</v>
      </c>
      <c r="S50" s="12">
        <v>195990.81333999999</v>
      </c>
      <c r="T50" s="13">
        <f t="shared" si="7"/>
        <v>5531104.3607600005</v>
      </c>
      <c r="U50" s="14">
        <f t="shared" si="1"/>
        <v>0.206516708009401</v>
      </c>
      <c r="V50" s="14">
        <f t="shared" si="2"/>
        <v>13.048150266587594</v>
      </c>
      <c r="W50" s="15">
        <f t="shared" si="3"/>
        <v>70.229849218036961</v>
      </c>
      <c r="X50" s="15">
        <f t="shared" si="4"/>
        <v>29.601498205344761</v>
      </c>
      <c r="Y50" s="15">
        <f t="shared" si="8"/>
        <v>12.185945041211856</v>
      </c>
      <c r="Z50" s="14">
        <f t="shared" si="9"/>
        <v>-538.74260268571697</v>
      </c>
    </row>
    <row r="51" spans="1:26" s="1" customFormat="1" ht="12" x14ac:dyDescent="0.2">
      <c r="A51" s="24">
        <v>44407</v>
      </c>
      <c r="B51" s="10">
        <v>1834965.01859</v>
      </c>
      <c r="C51" s="10">
        <v>13714130.5733</v>
      </c>
      <c r="D51" s="11">
        <v>15549095.59189</v>
      </c>
      <c r="E51" s="10"/>
      <c r="F51" s="10">
        <v>91796</v>
      </c>
      <c r="G51" s="10">
        <v>239820.38084999999</v>
      </c>
      <c r="H51" s="10">
        <v>573603.97407999996</v>
      </c>
      <c r="I51" s="10">
        <v>4642818.5520700002</v>
      </c>
      <c r="J51" s="10">
        <v>1369.1655000000001</v>
      </c>
      <c r="K51" s="11">
        <v>4644187.7175700003</v>
      </c>
      <c r="L51" s="10"/>
      <c r="M51" s="10">
        <v>77477.649999999994</v>
      </c>
      <c r="N51" s="12">
        <v>10833089.12961</v>
      </c>
      <c r="O51" s="11">
        <v>10910566.779610001</v>
      </c>
      <c r="P51" s="10"/>
      <c r="Q51" s="10">
        <v>96153.217869999993</v>
      </c>
      <c r="R51" s="10">
        <v>674996.87</v>
      </c>
      <c r="S51" s="10">
        <v>198368.01290999999</v>
      </c>
      <c r="T51" s="13">
        <f t="shared" si="7"/>
        <v>5612336.6528500002</v>
      </c>
      <c r="U51" s="14">
        <f t="shared" si="1"/>
        <v>-1.6113864733115588</v>
      </c>
      <c r="V51" s="14">
        <f t="shared" si="2"/>
        <v>13.380104621159782</v>
      </c>
      <c r="W51" s="15">
        <f t="shared" si="3"/>
        <v>70.168497679702128</v>
      </c>
      <c r="X51" s="15">
        <f t="shared" si="4"/>
        <v>29.867896110898478</v>
      </c>
      <c r="Y51" s="15">
        <f t="shared" si="8"/>
        <v>12.27905616626653</v>
      </c>
      <c r="Z51" s="14">
        <f t="shared" si="9"/>
        <v>-540.50374646694866</v>
      </c>
    </row>
    <row r="52" spans="1:26" s="1" customFormat="1" ht="12" x14ac:dyDescent="0.2">
      <c r="A52" s="24">
        <v>44365</v>
      </c>
      <c r="B52" s="12">
        <v>1751738.97218</v>
      </c>
      <c r="C52" s="12">
        <v>13546800.596620001</v>
      </c>
      <c r="D52" s="16">
        <v>15298539.5688</v>
      </c>
      <c r="E52" s="12"/>
      <c r="F52" s="12">
        <v>90886.34</v>
      </c>
      <c r="G52" s="12">
        <v>243949.26486</v>
      </c>
      <c r="H52" s="12">
        <v>575425.30099000002</v>
      </c>
      <c r="I52" s="12">
        <v>4580580.27996</v>
      </c>
      <c r="J52" s="12">
        <v>1402.1313</v>
      </c>
      <c r="K52" s="16">
        <v>4581982.4112600004</v>
      </c>
      <c r="L52" s="12"/>
      <c r="M52" s="12">
        <v>86912.17</v>
      </c>
      <c r="N52" s="12">
        <v>10754939.83096</v>
      </c>
      <c r="O52" s="16">
        <v>10841852.00096</v>
      </c>
      <c r="P52" s="12"/>
      <c r="Q52" s="12">
        <v>89965.308019999997</v>
      </c>
      <c r="R52" s="12">
        <v>669031.86</v>
      </c>
      <c r="S52" s="12">
        <v>194007.93874000001</v>
      </c>
      <c r="T52" s="13">
        <f t="shared" si="7"/>
        <v>5533585.3867199998</v>
      </c>
      <c r="U52" s="14">
        <f t="shared" si="1"/>
        <v>-0.85861334710594372</v>
      </c>
      <c r="V52" s="14">
        <f t="shared" si="2"/>
        <v>12.931016144262642</v>
      </c>
      <c r="W52" s="15">
        <f t="shared" si="3"/>
        <v>70.868542400419614</v>
      </c>
      <c r="X52" s="15">
        <f t="shared" si="4"/>
        <v>29.950456320710135</v>
      </c>
      <c r="Y52" s="15">
        <f t="shared" si="8"/>
        <v>12.373334204782978</v>
      </c>
      <c r="Z52" s="14">
        <f t="shared" si="9"/>
        <v>-539.49076161625533</v>
      </c>
    </row>
    <row r="53" spans="1:26" s="1" customFormat="1" ht="12" x14ac:dyDescent="0.2">
      <c r="A53" s="24">
        <v>44337</v>
      </c>
      <c r="B53" s="10">
        <v>1695080.47905</v>
      </c>
      <c r="C53" s="10">
        <v>13472103.7871</v>
      </c>
      <c r="D53" s="11">
        <v>15167184.26615</v>
      </c>
      <c r="E53" s="10"/>
      <c r="F53" s="10">
        <v>90485.86</v>
      </c>
      <c r="G53" s="10">
        <v>237817.17162000001</v>
      </c>
      <c r="H53" s="10">
        <v>570744.85418999998</v>
      </c>
      <c r="I53" s="10">
        <v>4534239.4367199996</v>
      </c>
      <c r="J53" s="10">
        <v>1250.0241000000001</v>
      </c>
      <c r="K53" s="11">
        <v>4535489.4608199997</v>
      </c>
      <c r="L53" s="10"/>
      <c r="M53" s="10">
        <v>90662.91</v>
      </c>
      <c r="N53" s="12">
        <v>10740558.56883</v>
      </c>
      <c r="O53" s="11">
        <v>10831221.47883</v>
      </c>
      <c r="P53" s="10"/>
      <c r="Q53" s="10">
        <v>91691.701180000004</v>
      </c>
      <c r="R53" s="10">
        <v>603344.18999999994</v>
      </c>
      <c r="S53" s="10">
        <v>195638.79459</v>
      </c>
      <c r="T53" s="13">
        <f t="shared" si="7"/>
        <v>5424914.12249</v>
      </c>
      <c r="U53" s="14">
        <f t="shared" si="1"/>
        <v>-0.21676783629097757</v>
      </c>
      <c r="V53" s="14">
        <f t="shared" si="2"/>
        <v>12.582151279691725</v>
      </c>
      <c r="W53" s="15">
        <f t="shared" si="3"/>
        <v>71.412209997362751</v>
      </c>
      <c r="X53" s="15">
        <f t="shared" si="4"/>
        <v>29.903305592075313</v>
      </c>
      <c r="Y53" s="15">
        <f t="shared" si="8"/>
        <v>12.468360761463963</v>
      </c>
      <c r="Z53" s="14">
        <f t="shared" si="9"/>
        <v>-536.04986423408639</v>
      </c>
    </row>
    <row r="54" spans="1:26" s="1" customFormat="1" ht="12" x14ac:dyDescent="0.2">
      <c r="A54" s="24">
        <v>44309</v>
      </c>
      <c r="B54" s="12">
        <v>1727331.78501</v>
      </c>
      <c r="C54" s="12">
        <v>13406974.90398</v>
      </c>
      <c r="D54" s="16">
        <v>15134306.688990001</v>
      </c>
      <c r="E54" s="12"/>
      <c r="F54" s="12">
        <v>89731</v>
      </c>
      <c r="G54" s="12">
        <v>260086.59557</v>
      </c>
      <c r="H54" s="12">
        <v>557214.10727000004</v>
      </c>
      <c r="I54" s="12">
        <v>4477632.5060099997</v>
      </c>
      <c r="J54" s="12">
        <v>1180.1295</v>
      </c>
      <c r="K54" s="16">
        <v>4478812.6355100004</v>
      </c>
      <c r="L54" s="12"/>
      <c r="M54" s="12">
        <v>58334.89</v>
      </c>
      <c r="N54" s="12">
        <v>10802150.486169999</v>
      </c>
      <c r="O54" s="16">
        <v>10860485.37617</v>
      </c>
      <c r="P54" s="12"/>
      <c r="Q54" s="12">
        <v>93127.743090000004</v>
      </c>
      <c r="R54" s="12">
        <v>552892.93000000005</v>
      </c>
      <c r="S54" s="12">
        <v>205597.07219000001</v>
      </c>
      <c r="T54" s="13">
        <f t="shared" si="7"/>
        <v>5329250.25129</v>
      </c>
      <c r="U54" s="14">
        <f t="shared" si="1"/>
        <v>-0.13739824669423234</v>
      </c>
      <c r="V54" s="14">
        <f t="shared" si="2"/>
        <v>12.883829479663033</v>
      </c>
      <c r="W54" s="15">
        <f t="shared" si="3"/>
        <v>71.760706316800452</v>
      </c>
      <c r="X54" s="15">
        <f t="shared" si="4"/>
        <v>29.593774776404359</v>
      </c>
      <c r="Y54" s="15">
        <f t="shared" si="8"/>
        <v>12.56538729480917</v>
      </c>
      <c r="Z54" s="14">
        <f t="shared" si="9"/>
        <v>-532.27163106036983</v>
      </c>
    </row>
    <row r="55" spans="1:26" s="1" customFormat="1" ht="12" x14ac:dyDescent="0.2">
      <c r="A55" s="24">
        <v>44281</v>
      </c>
      <c r="B55" s="10">
        <v>1861192.59451</v>
      </c>
      <c r="C55" s="10">
        <v>13252319.82244</v>
      </c>
      <c r="D55" s="11">
        <v>15113512.41695</v>
      </c>
      <c r="E55" s="10"/>
      <c r="F55" s="10">
        <v>90274.68</v>
      </c>
      <c r="G55" s="10">
        <v>254589.04483999999</v>
      </c>
      <c r="H55" s="10">
        <v>656607.46589999995</v>
      </c>
      <c r="I55" s="10">
        <v>4461631.6184900003</v>
      </c>
      <c r="J55" s="10">
        <v>894.03790000000004</v>
      </c>
      <c r="K55" s="11">
        <v>4462525.6563900001</v>
      </c>
      <c r="L55" s="10"/>
      <c r="M55" s="10">
        <v>61254.38</v>
      </c>
      <c r="N55" s="12">
        <v>10888254.616359999</v>
      </c>
      <c r="O55" s="11">
        <v>10949508.99636</v>
      </c>
      <c r="P55" s="10"/>
      <c r="Q55" s="10">
        <v>90747.664250000002</v>
      </c>
      <c r="R55" s="10">
        <v>542692.68999999994</v>
      </c>
      <c r="S55" s="10">
        <v>197541.30791999999</v>
      </c>
      <c r="T55" s="13">
        <f t="shared" si="7"/>
        <v>5292613.2806599997</v>
      </c>
      <c r="U55" s="14">
        <f t="shared" si="1"/>
        <v>-1.1905387666748086</v>
      </c>
      <c r="V55" s="14">
        <f t="shared" si="2"/>
        <v>14.044277677018208</v>
      </c>
      <c r="W55" s="15">
        <f t="shared" si="3"/>
        <v>72.448473222412431</v>
      </c>
      <c r="X55" s="15">
        <f t="shared" si="4"/>
        <v>29.526727694253385</v>
      </c>
      <c r="Y55" s="15">
        <f t="shared" si="8"/>
        <v>12.667063268461154</v>
      </c>
      <c r="Z55" s="14">
        <f t="shared" si="9"/>
        <v>-532.32275358108745</v>
      </c>
    </row>
    <row r="56" spans="1:26" s="1" customFormat="1" ht="12" x14ac:dyDescent="0.2">
      <c r="A56" s="24">
        <v>44253</v>
      </c>
      <c r="B56" s="12">
        <v>1703094.5189100001</v>
      </c>
      <c r="C56" s="12">
        <v>13230485.67371</v>
      </c>
      <c r="D56" s="16">
        <v>14933580.19262</v>
      </c>
      <c r="E56" s="12"/>
      <c r="F56" s="12">
        <v>84650.69</v>
      </c>
      <c r="G56" s="12">
        <v>249779.78724000001</v>
      </c>
      <c r="H56" s="12">
        <v>624300.67986999999</v>
      </c>
      <c r="I56" s="12">
        <v>4460125.7318599997</v>
      </c>
      <c r="J56" s="12">
        <v>1197.4872</v>
      </c>
      <c r="K56" s="16">
        <v>4461323.21906</v>
      </c>
      <c r="L56" s="12"/>
      <c r="M56" s="12">
        <v>75205.98</v>
      </c>
      <c r="N56" s="12">
        <v>10699536.481939999</v>
      </c>
      <c r="O56" s="16">
        <v>10774742.46194</v>
      </c>
      <c r="P56" s="12"/>
      <c r="Q56" s="12">
        <v>91536.598809999996</v>
      </c>
      <c r="R56" s="12">
        <v>462156.08</v>
      </c>
      <c r="S56" s="12">
        <v>191220.68716</v>
      </c>
      <c r="T56" s="13">
        <f t="shared" si="7"/>
        <v>5205039.0978299994</v>
      </c>
      <c r="U56" s="14">
        <f t="shared" si="1"/>
        <v>-0.87597892509825925</v>
      </c>
      <c r="V56" s="14">
        <f t="shared" si="2"/>
        <v>12.872501893820731</v>
      </c>
      <c r="W56" s="15">
        <f t="shared" si="3"/>
        <v>72.151100559695337</v>
      </c>
      <c r="X56" s="15">
        <f t="shared" si="4"/>
        <v>29.874438423444726</v>
      </c>
      <c r="Y56" s="15">
        <f t="shared" si="8"/>
        <v>12.770686560690676</v>
      </c>
      <c r="Z56" s="14">
        <f t="shared" si="9"/>
        <v>-531.17518223329785</v>
      </c>
    </row>
    <row r="57" spans="1:26" s="1" customFormat="1" ht="12" x14ac:dyDescent="0.2">
      <c r="A57" s="24">
        <v>44225</v>
      </c>
      <c r="B57" s="10">
        <v>1691559.0388100001</v>
      </c>
      <c r="C57" s="10">
        <v>13111206.138560001</v>
      </c>
      <c r="D57" s="11">
        <v>14802765.177370001</v>
      </c>
      <c r="E57" s="10"/>
      <c r="F57" s="10">
        <v>84597</v>
      </c>
      <c r="G57" s="10">
        <v>256374.05419</v>
      </c>
      <c r="H57" s="10">
        <v>609579.70091999997</v>
      </c>
      <c r="I57" s="10">
        <v>4432986.2587099997</v>
      </c>
      <c r="J57" s="10">
        <v>1645.8082999999999</v>
      </c>
      <c r="K57" s="11">
        <v>4434632.0670100003</v>
      </c>
      <c r="L57" s="10"/>
      <c r="M57" s="10">
        <v>87109.66</v>
      </c>
      <c r="N57" s="12">
        <v>10616642.170059999</v>
      </c>
      <c r="O57" s="11">
        <v>10703751.83006</v>
      </c>
      <c r="P57" s="10"/>
      <c r="Q57" s="10">
        <v>89470.6394</v>
      </c>
      <c r="R57" s="10">
        <v>476348.99</v>
      </c>
      <c r="S57" s="10">
        <v>193056.3082</v>
      </c>
      <c r="T57" s="13">
        <f t="shared" si="7"/>
        <v>5191862.1963099996</v>
      </c>
      <c r="U57" s="14">
        <f t="shared" si="1"/>
        <v>-2.1874597761303587</v>
      </c>
      <c r="V57" s="14">
        <f t="shared" si="2"/>
        <v>12.901627973303937</v>
      </c>
      <c r="W57" s="15">
        <f t="shared" si="3"/>
        <v>72.309137528058315</v>
      </c>
      <c r="X57" s="15">
        <f t="shared" si="4"/>
        <v>29.958132915528008</v>
      </c>
      <c r="Y57" s="15">
        <f t="shared" si="8"/>
        <v>12.878426541089823</v>
      </c>
      <c r="Z57" s="14">
        <f t="shared" si="9"/>
        <v>-534.85271324568328</v>
      </c>
    </row>
    <row r="58" spans="1:26" s="1" customFormat="1" ht="12" x14ac:dyDescent="0.2">
      <c r="A58" s="24">
        <v>44183</v>
      </c>
      <c r="B58" s="12">
        <v>1564598.2234100001</v>
      </c>
      <c r="C58" s="12">
        <v>12914362.419949999</v>
      </c>
      <c r="D58" s="16">
        <v>14478960.64336</v>
      </c>
      <c r="E58" s="12"/>
      <c r="F58" s="12">
        <v>77098</v>
      </c>
      <c r="G58" s="12">
        <v>269761.96295999998</v>
      </c>
      <c r="H58" s="12">
        <v>614651.81128000002</v>
      </c>
      <c r="I58" s="12">
        <v>4411845.4454199998</v>
      </c>
      <c r="J58" s="12">
        <v>1759.4095</v>
      </c>
      <c r="K58" s="16">
        <v>4413604.8549199998</v>
      </c>
      <c r="L58" s="12"/>
      <c r="M58" s="12">
        <v>93152.4</v>
      </c>
      <c r="N58" s="12">
        <v>10453884.38112</v>
      </c>
      <c r="O58" s="16">
        <v>10547036.78112</v>
      </c>
      <c r="P58" s="12"/>
      <c r="Q58" s="12">
        <v>84934.154060000001</v>
      </c>
      <c r="R58" s="12">
        <v>488262</v>
      </c>
      <c r="S58" s="12">
        <v>210004.80105000001</v>
      </c>
      <c r="T58" s="13">
        <f t="shared" si="7"/>
        <v>5195046.4005299993</v>
      </c>
      <c r="U58" s="14">
        <f t="shared" si="1"/>
        <v>-0.74954335489384671</v>
      </c>
      <c r="V58" s="14">
        <f t="shared" si="2"/>
        <v>12.115179770648389</v>
      </c>
      <c r="W58" s="15">
        <f t="shared" si="3"/>
        <v>72.843880447709026</v>
      </c>
      <c r="X58" s="15">
        <f t="shared" si="4"/>
        <v>30.482884535942596</v>
      </c>
      <c r="Y58" s="15">
        <f t="shared" ref="Y58:Y89" si="10">STDEV(U59:U151)</f>
        <v>12.98711680259373</v>
      </c>
      <c r="Z58" s="14">
        <f t="shared" ref="Z58:Z89" si="11">(STDEV(U59:U151) / AVERAGE(U59:U151)) * 100</f>
        <v>-533.14332837020947</v>
      </c>
    </row>
    <row r="59" spans="1:26" s="1" customFormat="1" ht="12" x14ac:dyDescent="0.2">
      <c r="A59" s="24">
        <v>44155</v>
      </c>
      <c r="B59" s="10">
        <v>1511515.9716099999</v>
      </c>
      <c r="C59" s="10">
        <v>12858918.58439</v>
      </c>
      <c r="D59" s="11">
        <v>14370434.556</v>
      </c>
      <c r="E59" s="10"/>
      <c r="F59" s="10">
        <v>114711</v>
      </c>
      <c r="G59" s="10">
        <v>258176.39045000001</v>
      </c>
      <c r="H59" s="10">
        <v>636575.92445000005</v>
      </c>
      <c r="I59" s="10">
        <v>4423853.4338100003</v>
      </c>
      <c r="J59" s="10">
        <v>1471.6021000000001</v>
      </c>
      <c r="K59" s="11">
        <v>4425325.0359100001</v>
      </c>
      <c r="L59" s="10"/>
      <c r="M59" s="10">
        <v>88956.29</v>
      </c>
      <c r="N59" s="12">
        <v>10345924.052959999</v>
      </c>
      <c r="O59" s="11">
        <v>10434880.34296</v>
      </c>
      <c r="P59" s="10"/>
      <c r="Q59" s="10">
        <v>86616.112550000005</v>
      </c>
      <c r="R59" s="10">
        <v>471488</v>
      </c>
      <c r="S59" s="10">
        <v>206554.79504999999</v>
      </c>
      <c r="T59" s="13">
        <f t="shared" si="7"/>
        <v>5188512.3414099999</v>
      </c>
      <c r="U59" s="14">
        <f t="shared" si="1"/>
        <v>-0.54920027583333408</v>
      </c>
      <c r="V59" s="14">
        <f t="shared" si="2"/>
        <v>11.754611880387008</v>
      </c>
      <c r="W59" s="15">
        <f t="shared" si="3"/>
        <v>72.613533726460545</v>
      </c>
      <c r="X59" s="15">
        <f t="shared" si="4"/>
        <v>30.794650075924956</v>
      </c>
      <c r="Y59" s="15">
        <f t="shared" si="10"/>
        <v>13.098118624506332</v>
      </c>
      <c r="Z59" s="14">
        <f t="shared" si="11"/>
        <v>-530.61421166229047</v>
      </c>
    </row>
    <row r="60" spans="1:26" s="1" customFormat="1" ht="12" x14ac:dyDescent="0.2">
      <c r="A60" s="24">
        <v>44127</v>
      </c>
      <c r="B60" s="12">
        <v>1505253.9631399999</v>
      </c>
      <c r="C60" s="12">
        <v>12786258.126639999</v>
      </c>
      <c r="D60" s="16">
        <v>14291512.089779999</v>
      </c>
      <c r="E60" s="12"/>
      <c r="F60" s="12">
        <v>115451</v>
      </c>
      <c r="G60" s="12">
        <v>272678.84460999997</v>
      </c>
      <c r="H60" s="12">
        <v>563901.25918000005</v>
      </c>
      <c r="I60" s="12">
        <v>4438623.2316199997</v>
      </c>
      <c r="J60" s="12">
        <v>1610.4403</v>
      </c>
      <c r="K60" s="16">
        <v>4440233.6719199996</v>
      </c>
      <c r="L60" s="12"/>
      <c r="M60" s="12">
        <v>66659.009999999995</v>
      </c>
      <c r="N60" s="12">
        <v>10272208.86781</v>
      </c>
      <c r="O60" s="16">
        <v>10338867.87781</v>
      </c>
      <c r="P60" s="12"/>
      <c r="Q60" s="12">
        <v>84931.660780000006</v>
      </c>
      <c r="R60" s="12">
        <v>437010</v>
      </c>
      <c r="S60" s="12">
        <v>215963.13222999999</v>
      </c>
      <c r="T60" s="13">
        <f t="shared" si="7"/>
        <v>5176528.0246299999</v>
      </c>
      <c r="U60" s="14">
        <f t="shared" si="1"/>
        <v>-0.20367771035798712</v>
      </c>
      <c r="V60" s="14">
        <f t="shared" si="2"/>
        <v>11.772435283500364</v>
      </c>
      <c r="W60" s="15">
        <f t="shared" si="3"/>
        <v>72.34271512251965</v>
      </c>
      <c r="X60" s="15">
        <f t="shared" si="4"/>
        <v>31.069026454487307</v>
      </c>
      <c r="Y60" s="15">
        <f t="shared" si="10"/>
        <v>13.211021661255778</v>
      </c>
      <c r="Z60" s="14">
        <f t="shared" si="11"/>
        <v>-526.709917836248</v>
      </c>
    </row>
    <row r="61" spans="1:26" s="1" customFormat="1" ht="12" x14ac:dyDescent="0.2">
      <c r="A61" s="24">
        <v>44099</v>
      </c>
      <c r="B61" s="10">
        <v>1576060.4439699999</v>
      </c>
      <c r="C61" s="10">
        <v>12686343.02121</v>
      </c>
      <c r="D61" s="11">
        <v>14262403.46518</v>
      </c>
      <c r="E61" s="10"/>
      <c r="F61" s="10">
        <v>121495</v>
      </c>
      <c r="G61" s="10">
        <v>277072.07640999998</v>
      </c>
      <c r="H61" s="10">
        <v>551057.19519999996</v>
      </c>
      <c r="I61" s="10">
        <v>4437463.4486600002</v>
      </c>
      <c r="J61" s="10">
        <v>1628.5639000000001</v>
      </c>
      <c r="K61" s="11">
        <v>4439092.0125599997</v>
      </c>
      <c r="L61" s="10"/>
      <c r="M61" s="10">
        <v>66426.850000000006</v>
      </c>
      <c r="N61" s="12">
        <v>10205154.15793</v>
      </c>
      <c r="O61" s="11">
        <v>10271581.007929999</v>
      </c>
      <c r="P61" s="10"/>
      <c r="Q61" s="10">
        <v>87600.840899999996</v>
      </c>
      <c r="R61" s="10">
        <v>429915</v>
      </c>
      <c r="S61" s="10">
        <v>218021.64159000001</v>
      </c>
      <c r="T61" s="13">
        <f t="shared" si="7"/>
        <v>5173000.9311500005</v>
      </c>
      <c r="U61" s="14">
        <f t="shared" si="1"/>
        <v>-0.60025241866848167</v>
      </c>
      <c r="V61" s="14">
        <f t="shared" si="2"/>
        <v>12.423284167352415</v>
      </c>
      <c r="W61" s="15">
        <f t="shared" si="3"/>
        <v>72.018583915445035</v>
      </c>
      <c r="X61" s="15">
        <f t="shared" si="4"/>
        <v>31.124431610685583</v>
      </c>
      <c r="Y61" s="15">
        <f t="shared" si="10"/>
        <v>13.328053732601123</v>
      </c>
      <c r="Z61" s="14">
        <f t="shared" si="11"/>
        <v>-524.25456594059324</v>
      </c>
    </row>
    <row r="62" spans="1:26" s="1" customFormat="1" ht="12" x14ac:dyDescent="0.2">
      <c r="A62" s="24">
        <v>44071</v>
      </c>
      <c r="B62" s="12">
        <v>1537714.17083</v>
      </c>
      <c r="C62" s="12">
        <v>12639078.87259</v>
      </c>
      <c r="D62" s="16">
        <v>14176793.04342</v>
      </c>
      <c r="E62" s="12"/>
      <c r="F62" s="12">
        <v>253645</v>
      </c>
      <c r="G62" s="12">
        <v>282628.96853000001</v>
      </c>
      <c r="H62" s="12">
        <v>567377.01144000003</v>
      </c>
      <c r="I62" s="12">
        <v>4359335.8503400004</v>
      </c>
      <c r="J62" s="12">
        <v>1886.1903</v>
      </c>
      <c r="K62" s="16">
        <v>4361222.0406400003</v>
      </c>
      <c r="L62" s="12"/>
      <c r="M62" s="12">
        <v>65941.47</v>
      </c>
      <c r="N62" s="12">
        <v>10150216.568430001</v>
      </c>
      <c r="O62" s="16">
        <v>10216158.03843</v>
      </c>
      <c r="P62" s="12"/>
      <c r="Q62" s="12">
        <v>87251.391959999994</v>
      </c>
      <c r="R62" s="12">
        <v>439411</v>
      </c>
      <c r="S62" s="12">
        <v>219488.99223999999</v>
      </c>
      <c r="T62" s="13">
        <f t="shared" si="7"/>
        <v>5105487.2345400006</v>
      </c>
      <c r="U62" s="14">
        <f t="shared" si="1"/>
        <v>-0.10950107660072037</v>
      </c>
      <c r="V62" s="14">
        <f t="shared" si="2"/>
        <v>12.166346822669141</v>
      </c>
      <c r="W62" s="15">
        <f t="shared" si="3"/>
        <v>72.062546212958338</v>
      </c>
      <c r="X62" s="15">
        <f t="shared" si="4"/>
        <v>30.763107194149335</v>
      </c>
      <c r="Y62" s="15">
        <f t="shared" si="10"/>
        <v>13.446746710226396</v>
      </c>
      <c r="Z62" s="14">
        <f t="shared" si="11"/>
        <v>-519.87811506114417</v>
      </c>
    </row>
    <row r="63" spans="1:26" s="1" customFormat="1" ht="12" x14ac:dyDescent="0.2">
      <c r="A63" s="24">
        <v>44043</v>
      </c>
      <c r="B63" s="10">
        <v>1528033.91909</v>
      </c>
      <c r="C63" s="10">
        <v>12633235.38332</v>
      </c>
      <c r="D63" s="11">
        <v>14161269.302409999</v>
      </c>
      <c r="E63" s="10"/>
      <c r="F63" s="10">
        <v>258425</v>
      </c>
      <c r="G63" s="10">
        <v>304772.83610000001</v>
      </c>
      <c r="H63" s="10">
        <v>523471.57029</v>
      </c>
      <c r="I63" s="10">
        <v>4291520.81152</v>
      </c>
      <c r="J63" s="10">
        <v>1888.2079000000001</v>
      </c>
      <c r="K63" s="11">
        <v>4293409.0194199998</v>
      </c>
      <c r="L63" s="10"/>
      <c r="M63" s="10">
        <v>79287.5</v>
      </c>
      <c r="N63" s="12">
        <v>10202769.387979999</v>
      </c>
      <c r="O63" s="11">
        <v>10282056.887979999</v>
      </c>
      <c r="P63" s="10"/>
      <c r="Q63" s="10">
        <v>86228.826589999997</v>
      </c>
      <c r="R63" s="10">
        <v>435414</v>
      </c>
      <c r="S63" s="10">
        <v>240022.02416</v>
      </c>
      <c r="T63" s="13">
        <f t="shared" si="7"/>
        <v>5053185.6622700002</v>
      </c>
      <c r="U63" s="14">
        <f t="shared" si="1"/>
        <v>-2.0770865307246238</v>
      </c>
      <c r="V63" s="14">
        <f t="shared" si="2"/>
        <v>12.095349075087322</v>
      </c>
      <c r="W63" s="15">
        <f t="shared" si="3"/>
        <v>72.606887620096131</v>
      </c>
      <c r="X63" s="15">
        <f t="shared" si="4"/>
        <v>30.317967462770707</v>
      </c>
      <c r="Y63" s="15">
        <f t="shared" si="10"/>
        <v>13.572826289925782</v>
      </c>
      <c r="Z63" s="14">
        <f t="shared" si="11"/>
        <v>-522.84560362210777</v>
      </c>
    </row>
    <row r="64" spans="1:26" s="1" customFormat="1" ht="12" x14ac:dyDescent="0.2">
      <c r="A64" s="24">
        <v>44001</v>
      </c>
      <c r="B64" s="12">
        <v>1452440.06669</v>
      </c>
      <c r="C64" s="12">
        <v>12414687.41846</v>
      </c>
      <c r="D64" s="16">
        <v>13867127.48515</v>
      </c>
      <c r="E64" s="12"/>
      <c r="F64" s="12">
        <v>290757</v>
      </c>
      <c r="G64" s="12">
        <v>322965.84473000001</v>
      </c>
      <c r="H64" s="12">
        <v>519503.14525</v>
      </c>
      <c r="I64" s="12">
        <v>4141319.9626799999</v>
      </c>
      <c r="J64" s="12">
        <v>1071.6357599999999</v>
      </c>
      <c r="K64" s="16">
        <v>4142391.5984399999</v>
      </c>
      <c r="L64" s="12"/>
      <c r="M64" s="12">
        <v>89288.99</v>
      </c>
      <c r="N64" s="12">
        <v>10156388.48013</v>
      </c>
      <c r="O64" s="16">
        <v>10245677.47013</v>
      </c>
      <c r="P64" s="12"/>
      <c r="Q64" s="12">
        <v>87386.095780000003</v>
      </c>
      <c r="R64" s="12">
        <v>451363</v>
      </c>
      <c r="S64" s="12">
        <v>259789.61244</v>
      </c>
      <c r="T64" s="13">
        <f t="shared" si="7"/>
        <v>4939858.6709000003</v>
      </c>
      <c r="U64" s="14">
        <f t="shared" si="1"/>
        <v>-0.26835307167869266</v>
      </c>
      <c r="V64" s="14">
        <f t="shared" si="2"/>
        <v>11.69936880191036</v>
      </c>
      <c r="W64" s="15">
        <f t="shared" si="3"/>
        <v>73.884641798396018</v>
      </c>
      <c r="X64" s="15">
        <f t="shared" si="4"/>
        <v>29.872023624762917</v>
      </c>
      <c r="Y64" s="15">
        <f t="shared" si="10"/>
        <v>13.698838786123508</v>
      </c>
      <c r="Z64" s="14">
        <f t="shared" si="11"/>
        <v>-518.92095943953132</v>
      </c>
    </row>
    <row r="65" spans="1:26" s="1" customFormat="1" ht="12" x14ac:dyDescent="0.2">
      <c r="A65" s="24">
        <v>43973</v>
      </c>
      <c r="B65" s="10">
        <v>1444906.8747</v>
      </c>
      <c r="C65" s="10">
        <v>12385007.747889999</v>
      </c>
      <c r="D65" s="11">
        <v>13829914.62259</v>
      </c>
      <c r="E65" s="10"/>
      <c r="F65" s="10">
        <v>292242</v>
      </c>
      <c r="G65" s="10">
        <v>339295.94387000002</v>
      </c>
      <c r="H65" s="10">
        <v>518914.88731999998</v>
      </c>
      <c r="I65" s="10">
        <v>4052676.65221</v>
      </c>
      <c r="J65" s="10">
        <v>1694.29576</v>
      </c>
      <c r="K65" s="11">
        <v>4054370.9479700001</v>
      </c>
      <c r="L65" s="10"/>
      <c r="M65" s="10">
        <v>79416.240000000005</v>
      </c>
      <c r="N65" s="12">
        <v>10143336.9429</v>
      </c>
      <c r="O65" s="11">
        <v>10222753.1829</v>
      </c>
      <c r="P65" s="10"/>
      <c r="Q65" s="10">
        <v>87989.653390000007</v>
      </c>
      <c r="R65" s="10">
        <v>433987</v>
      </c>
      <c r="S65" s="10">
        <v>268903.43156</v>
      </c>
      <c r="T65" s="13">
        <f t="shared" si="7"/>
        <v>4843556.73716</v>
      </c>
      <c r="U65" s="14">
        <f t="shared" si="1"/>
        <v>-0.77175171020695466</v>
      </c>
      <c r="V65" s="14">
        <f t="shared" si="2"/>
        <v>11.666580305096417</v>
      </c>
      <c r="W65" s="15">
        <f t="shared" si="3"/>
        <v>73.917688300128731</v>
      </c>
      <c r="X65" s="15">
        <f t="shared" si="4"/>
        <v>29.315950666445378</v>
      </c>
      <c r="Y65" s="15">
        <f t="shared" si="10"/>
        <v>13.82996788293625</v>
      </c>
      <c r="Z65" s="14">
        <f t="shared" si="11"/>
        <v>-516.85446792566893</v>
      </c>
    </row>
    <row r="66" spans="1:26" s="1" customFormat="1" ht="12" x14ac:dyDescent="0.2">
      <c r="A66" s="24">
        <v>43945</v>
      </c>
      <c r="B66" s="12">
        <v>1455444.6409499999</v>
      </c>
      <c r="C66" s="12">
        <v>12267737.37902</v>
      </c>
      <c r="D66" s="16">
        <v>13723182.01997</v>
      </c>
      <c r="E66" s="12"/>
      <c r="F66" s="12">
        <v>288194</v>
      </c>
      <c r="G66" s="12">
        <v>323746.03360999998</v>
      </c>
      <c r="H66" s="12">
        <v>521619.76117999997</v>
      </c>
      <c r="I66" s="12">
        <v>3968352.4958199998</v>
      </c>
      <c r="J66" s="12">
        <v>1293.4014999999999</v>
      </c>
      <c r="K66" s="16">
        <v>3969645.89732</v>
      </c>
      <c r="L66" s="12"/>
      <c r="M66" s="12">
        <v>52643.42</v>
      </c>
      <c r="N66" s="12">
        <v>10220772.36664</v>
      </c>
      <c r="O66" s="16">
        <v>10273415.78664</v>
      </c>
      <c r="P66" s="12"/>
      <c r="Q66" s="12">
        <v>87773.562900000004</v>
      </c>
      <c r="R66" s="12">
        <v>423731</v>
      </c>
      <c r="S66" s="12">
        <v>267596.62355999998</v>
      </c>
      <c r="T66" s="13">
        <f t="shared" si="7"/>
        <v>4747453.6822800003</v>
      </c>
      <c r="U66" s="14">
        <f t="shared" si="1"/>
        <v>-1.134502897385171</v>
      </c>
      <c r="V66" s="14">
        <f t="shared" si="2"/>
        <v>11.864002268576987</v>
      </c>
      <c r="W66" s="15">
        <f t="shared" si="3"/>
        <v>74.861761446362124</v>
      </c>
      <c r="X66" s="15">
        <f t="shared" si="4"/>
        <v>28.926570321251759</v>
      </c>
      <c r="Y66" s="15">
        <f t="shared" si="10"/>
        <v>13.965848653973424</v>
      </c>
      <c r="Z66" s="14">
        <f t="shared" si="11"/>
        <v>-516.10354896656509</v>
      </c>
    </row>
    <row r="67" spans="1:26" s="1" customFormat="1" ht="12" x14ac:dyDescent="0.2">
      <c r="A67" s="24">
        <v>43917</v>
      </c>
      <c r="B67" s="10">
        <v>1617003.1393899999</v>
      </c>
      <c r="C67" s="10">
        <v>11950488.98295</v>
      </c>
      <c r="D67" s="11">
        <v>13567492.122339999</v>
      </c>
      <c r="E67" s="10"/>
      <c r="F67" s="10">
        <v>285623</v>
      </c>
      <c r="G67" s="10">
        <v>314513.07212000003</v>
      </c>
      <c r="H67" s="10">
        <v>603675.89943999995</v>
      </c>
      <c r="I67" s="10">
        <v>3738696.1463100002</v>
      </c>
      <c r="J67" s="10">
        <v>8652.9865000000009</v>
      </c>
      <c r="K67" s="11">
        <v>3747349.1328099999</v>
      </c>
      <c r="L67" s="10"/>
      <c r="M67" s="10">
        <v>51763.97</v>
      </c>
      <c r="N67" s="12">
        <v>10319096.71312</v>
      </c>
      <c r="O67" s="11">
        <v>10370860.683119999</v>
      </c>
      <c r="P67" s="10"/>
      <c r="Q67" s="10">
        <v>87260.320120000004</v>
      </c>
      <c r="R67" s="10">
        <v>536186</v>
      </c>
      <c r="S67" s="10">
        <v>260237.69592</v>
      </c>
      <c r="T67" s="13">
        <f t="shared" si="7"/>
        <v>4622380.1623499999</v>
      </c>
      <c r="U67" s="14">
        <f t="shared" si="1"/>
        <v>-1.777955008079972</v>
      </c>
      <c r="V67" s="14">
        <f t="shared" si="2"/>
        <v>13.530853354176639</v>
      </c>
      <c r="W67" s="15">
        <f t="shared" si="3"/>
        <v>76.439039651576564</v>
      </c>
      <c r="X67" s="15">
        <f t="shared" si="4"/>
        <v>27.620057553891474</v>
      </c>
      <c r="Y67" s="15">
        <f t="shared" si="10"/>
        <v>14.107002101759184</v>
      </c>
      <c r="Z67" s="14">
        <f t="shared" si="11"/>
        <v>-517.76832979899916</v>
      </c>
    </row>
    <row r="68" spans="1:26" s="1" customFormat="1" ht="12" x14ac:dyDescent="0.2">
      <c r="A68" s="24">
        <v>43889</v>
      </c>
      <c r="B68" s="12">
        <v>1459925.9073600001</v>
      </c>
      <c r="C68" s="12">
        <v>11866342.309319999</v>
      </c>
      <c r="D68" s="16">
        <v>13326268.21668</v>
      </c>
      <c r="E68" s="12"/>
      <c r="F68" s="12">
        <v>54186</v>
      </c>
      <c r="G68" s="12">
        <v>318460.35269999999</v>
      </c>
      <c r="H68" s="12">
        <v>584468.24664000003</v>
      </c>
      <c r="I68" s="12">
        <v>3769059.7522900002</v>
      </c>
      <c r="J68" s="12">
        <v>9227.3291000000008</v>
      </c>
      <c r="K68" s="16">
        <v>3778287.0813899999</v>
      </c>
      <c r="L68" s="12"/>
      <c r="M68" s="12">
        <v>65596.37</v>
      </c>
      <c r="N68" s="12">
        <v>10039269.949859999</v>
      </c>
      <c r="O68" s="16">
        <v>10104866.31986</v>
      </c>
      <c r="P68" s="12"/>
      <c r="Q68" s="12">
        <v>82360.777430000002</v>
      </c>
      <c r="R68" s="12">
        <v>550033</v>
      </c>
      <c r="S68" s="12">
        <v>261959.28318999999</v>
      </c>
      <c r="T68" s="13">
        <f t="shared" si="7"/>
        <v>4663412.8129099999</v>
      </c>
      <c r="U68" s="14">
        <f t="shared" ref="U68:U116" si="12">((D69 - D68) / D68) * 100</f>
        <v>-1.701156117480301E-2</v>
      </c>
      <c r="V68" s="14">
        <f t="shared" ref="V68:V117" si="13">(B68 / C68) * 100</f>
        <v>12.303082696454432</v>
      </c>
      <c r="W68" s="15">
        <f t="shared" ref="W68:W117" si="14">(O68 / D68) * 100</f>
        <v>75.826676722686031</v>
      </c>
      <c r="X68" s="15">
        <f t="shared" ref="X68:X117" si="15">(K68 / D68) * 100</f>
        <v>28.352176467984165</v>
      </c>
      <c r="Y68" s="15">
        <f t="shared" si="10"/>
        <v>14.247724511301772</v>
      </c>
      <c r="Z68" s="14">
        <f t="shared" si="11"/>
        <v>-512.53859281302971</v>
      </c>
    </row>
    <row r="69" spans="1:26" s="1" customFormat="1" ht="12" x14ac:dyDescent="0.2">
      <c r="A69" s="24">
        <v>43861</v>
      </c>
      <c r="B69" s="10">
        <v>1431011.25884</v>
      </c>
      <c r="C69" s="10">
        <v>11892989.95157</v>
      </c>
      <c r="D69" s="11">
        <v>13324001.210410001</v>
      </c>
      <c r="E69" s="10"/>
      <c r="F69" s="10">
        <v>16915</v>
      </c>
      <c r="G69" s="10">
        <v>274770.79522999999</v>
      </c>
      <c r="H69" s="10">
        <v>543730.13757000002</v>
      </c>
      <c r="I69" s="10">
        <v>3730740.6483200002</v>
      </c>
      <c r="J69" s="10">
        <v>4773.3819000000003</v>
      </c>
      <c r="K69" s="11">
        <v>3735514.0302200001</v>
      </c>
      <c r="L69" s="10"/>
      <c r="M69" s="10">
        <v>78899.97</v>
      </c>
      <c r="N69" s="12">
        <v>10026276.385509999</v>
      </c>
      <c r="O69" s="11">
        <v>10105176.35551</v>
      </c>
      <c r="P69" s="10"/>
      <c r="Q69" s="10">
        <v>81845.411970000001</v>
      </c>
      <c r="R69" s="10">
        <v>550704</v>
      </c>
      <c r="S69" s="10">
        <v>231623.24234999999</v>
      </c>
      <c r="T69" s="13">
        <f t="shared" si="7"/>
        <v>4594913.3026400004</v>
      </c>
      <c r="U69" s="14">
        <f t="shared" si="12"/>
        <v>-2.3650594039559101</v>
      </c>
      <c r="V69" s="14">
        <f t="shared" si="13"/>
        <v>12.032392734436739</v>
      </c>
      <c r="W69" s="15">
        <f t="shared" si="14"/>
        <v>75.841905114920422</v>
      </c>
      <c r="X69" s="15">
        <f t="shared" si="15"/>
        <v>28.035977866029121</v>
      </c>
      <c r="Y69" s="15">
        <f t="shared" si="10"/>
        <v>14.398368522756366</v>
      </c>
      <c r="Z69" s="14">
        <f t="shared" si="11"/>
        <v>-516.35267658908765</v>
      </c>
    </row>
    <row r="70" spans="1:26" s="1" customFormat="1" ht="12" x14ac:dyDescent="0.2">
      <c r="A70" s="24">
        <v>43819</v>
      </c>
      <c r="B70" s="12">
        <v>1354800.3764500001</v>
      </c>
      <c r="C70" s="12">
        <v>11654080.290349999</v>
      </c>
      <c r="D70" s="16">
        <v>13008880.6668</v>
      </c>
      <c r="E70" s="12"/>
      <c r="F70" s="12">
        <v>25746</v>
      </c>
      <c r="G70" s="12">
        <v>263617.21198000002</v>
      </c>
      <c r="H70" s="12">
        <v>559952.62159</v>
      </c>
      <c r="I70" s="12">
        <v>3712897.9593799999</v>
      </c>
      <c r="J70" s="12">
        <v>11329.574000000001</v>
      </c>
      <c r="K70" s="16">
        <v>3724227.5333799999</v>
      </c>
      <c r="L70" s="12"/>
      <c r="M70" s="12">
        <v>85143.039999999994</v>
      </c>
      <c r="N70" s="12">
        <v>9862300.8825499993</v>
      </c>
      <c r="O70" s="16">
        <v>9947443.9225500003</v>
      </c>
      <c r="P70" s="12"/>
      <c r="Q70" s="12">
        <v>81116.044970000003</v>
      </c>
      <c r="R70" s="12">
        <v>562488</v>
      </c>
      <c r="S70" s="12">
        <v>226493.14491999999</v>
      </c>
      <c r="T70" s="13">
        <f t="shared" si="7"/>
        <v>4582995.1492699999</v>
      </c>
      <c r="U70" s="14">
        <f t="shared" si="12"/>
        <v>-0.38748416978445632</v>
      </c>
      <c r="V70" s="14">
        <f t="shared" si="13"/>
        <v>11.625116205624771</v>
      </c>
      <c r="W70" s="15">
        <f t="shared" si="14"/>
        <v>76.466562937554656</v>
      </c>
      <c r="X70" s="15">
        <f t="shared" si="15"/>
        <v>28.628347271142328</v>
      </c>
      <c r="Y70" s="15">
        <f t="shared" si="10"/>
        <v>14.549633450538373</v>
      </c>
      <c r="Z70" s="14">
        <f t="shared" si="11"/>
        <v>-512.3903223581741</v>
      </c>
    </row>
    <row r="71" spans="1:26" s="1" customFormat="1" ht="12" x14ac:dyDescent="0.2">
      <c r="A71" s="24">
        <v>43791</v>
      </c>
      <c r="B71" s="10">
        <v>1331739.5949299999</v>
      </c>
      <c r="C71" s="10">
        <v>11626733.71862</v>
      </c>
      <c r="D71" s="11">
        <v>12958473.313549999</v>
      </c>
      <c r="E71" s="10"/>
      <c r="F71" s="10">
        <v>24246</v>
      </c>
      <c r="G71" s="10">
        <v>253267.26267</v>
      </c>
      <c r="H71" s="10">
        <v>507771.72298000002</v>
      </c>
      <c r="I71" s="10">
        <v>3715868.2262300001</v>
      </c>
      <c r="J71" s="10">
        <v>3700.2310000000002</v>
      </c>
      <c r="K71" s="11">
        <v>3719568.4572299998</v>
      </c>
      <c r="L71" s="10"/>
      <c r="M71" s="10">
        <v>91304.09</v>
      </c>
      <c r="N71" s="12">
        <v>9768998.5599600002</v>
      </c>
      <c r="O71" s="11">
        <v>9860302.6499600001</v>
      </c>
      <c r="P71" s="10"/>
      <c r="Q71" s="10">
        <v>84983.788820000002</v>
      </c>
      <c r="R71" s="10">
        <v>517462</v>
      </c>
      <c r="S71" s="10">
        <v>307657.06459000002</v>
      </c>
      <c r="T71" s="13">
        <f t="shared" si="7"/>
        <v>4625971.0796400001</v>
      </c>
      <c r="U71" s="14">
        <f t="shared" si="12"/>
        <v>0.15133727049076595</v>
      </c>
      <c r="V71" s="14">
        <f t="shared" si="13"/>
        <v>11.454116239002218</v>
      </c>
      <c r="W71" s="15">
        <f t="shared" si="14"/>
        <v>76.091545750606258</v>
      </c>
      <c r="X71" s="15">
        <f t="shared" si="15"/>
        <v>28.70375519730894</v>
      </c>
      <c r="Y71" s="15">
        <f t="shared" si="10"/>
        <v>14.70350253554159</v>
      </c>
      <c r="Z71" s="14">
        <f t="shared" si="11"/>
        <v>-506.2178420752976</v>
      </c>
    </row>
    <row r="72" spans="1:26" s="1" customFormat="1" ht="12" x14ac:dyDescent="0.2">
      <c r="A72" s="24">
        <v>43763</v>
      </c>
      <c r="B72" s="12">
        <v>1361293.26266</v>
      </c>
      <c r="C72" s="12">
        <v>11616791.0507</v>
      </c>
      <c r="D72" s="16">
        <v>12978084.31336</v>
      </c>
      <c r="E72" s="12"/>
      <c r="F72" s="12">
        <v>22273</v>
      </c>
      <c r="G72" s="12">
        <v>255642.71092000001</v>
      </c>
      <c r="H72" s="12">
        <v>511052.46792999998</v>
      </c>
      <c r="I72" s="12">
        <v>3675525.7580200001</v>
      </c>
      <c r="J72" s="12">
        <v>7967.0835999999999</v>
      </c>
      <c r="K72" s="16">
        <v>3683492.8416200001</v>
      </c>
      <c r="L72" s="12"/>
      <c r="M72" s="12">
        <v>69778.61</v>
      </c>
      <c r="N72" s="12">
        <v>9770783.7035700008</v>
      </c>
      <c r="O72" s="16">
        <v>9840562.3135700002</v>
      </c>
      <c r="P72" s="12"/>
      <c r="Q72" s="12">
        <v>85079.339259999993</v>
      </c>
      <c r="R72" s="12">
        <v>548240</v>
      </c>
      <c r="S72" s="12">
        <v>307216.03986999998</v>
      </c>
      <c r="T72" s="13">
        <f t="shared" si="7"/>
        <v>4616061.1371499998</v>
      </c>
      <c r="U72" s="14">
        <f t="shared" si="12"/>
        <v>-0.55188038689399255</v>
      </c>
      <c r="V72" s="14">
        <f t="shared" si="13"/>
        <v>11.718324421252044</v>
      </c>
      <c r="W72" s="15">
        <f t="shared" si="14"/>
        <v>75.824459727387136</v>
      </c>
      <c r="X72" s="15">
        <f t="shared" si="15"/>
        <v>28.382408009386335</v>
      </c>
      <c r="Y72" s="15">
        <f t="shared" si="10"/>
        <v>14.86532436000266</v>
      </c>
      <c r="Z72" s="14">
        <f t="shared" si="11"/>
        <v>-502.73982832799646</v>
      </c>
    </row>
    <row r="73" spans="1:26" s="1" customFormat="1" ht="12" x14ac:dyDescent="0.2">
      <c r="A73" s="24">
        <v>43735</v>
      </c>
      <c r="B73" s="10">
        <v>1408885.68857</v>
      </c>
      <c r="C73" s="10">
        <v>11497575.12287</v>
      </c>
      <c r="D73" s="11">
        <v>12906460.81144</v>
      </c>
      <c r="E73" s="10"/>
      <c r="F73" s="10">
        <v>47478</v>
      </c>
      <c r="G73" s="10">
        <v>262669.88533000002</v>
      </c>
      <c r="H73" s="10">
        <v>532411.54058000003</v>
      </c>
      <c r="I73" s="10">
        <v>3689379.3966600001</v>
      </c>
      <c r="J73" s="10">
        <v>3374.0529999999999</v>
      </c>
      <c r="K73" s="11">
        <v>3692753.4496599999</v>
      </c>
      <c r="L73" s="10"/>
      <c r="M73" s="10">
        <v>60085.07</v>
      </c>
      <c r="N73" s="12">
        <v>9708768.7861899994</v>
      </c>
      <c r="O73" s="11">
        <v>9768853.8561899997</v>
      </c>
      <c r="P73" s="10"/>
      <c r="Q73" s="10">
        <v>86980.537370000005</v>
      </c>
      <c r="R73" s="10">
        <v>532442</v>
      </c>
      <c r="S73" s="10">
        <v>318409.86589999998</v>
      </c>
      <c r="T73" s="13">
        <f t="shared" ref="T73:T117" si="16">SUM(Q73, R73, S73, I73)</f>
        <v>4627211.7999299997</v>
      </c>
      <c r="U73" s="14">
        <f t="shared" si="12"/>
        <v>-0.978295691008362</v>
      </c>
      <c r="V73" s="14">
        <f t="shared" si="13"/>
        <v>12.253763715512187</v>
      </c>
      <c r="W73" s="15">
        <f t="shared" si="14"/>
        <v>75.689641017087382</v>
      </c>
      <c r="X73" s="15">
        <f t="shared" si="15"/>
        <v>28.611665921511381</v>
      </c>
      <c r="Y73" s="15">
        <f t="shared" si="10"/>
        <v>15.034087245123498</v>
      </c>
      <c r="Z73" s="14">
        <f t="shared" si="11"/>
        <v>-500.83078406814883</v>
      </c>
    </row>
    <row r="74" spans="1:26" s="1" customFormat="1" ht="12" x14ac:dyDescent="0.2">
      <c r="A74" s="24">
        <v>43707</v>
      </c>
      <c r="B74" s="12">
        <v>1365634.49819</v>
      </c>
      <c r="C74" s="12">
        <v>11414562.963269999</v>
      </c>
      <c r="D74" s="16">
        <v>12780197.46146</v>
      </c>
      <c r="E74" s="12"/>
      <c r="F74" s="12">
        <v>31140</v>
      </c>
      <c r="G74" s="12">
        <v>266046.64564</v>
      </c>
      <c r="H74" s="12">
        <v>531592.46120000002</v>
      </c>
      <c r="I74" s="12">
        <v>3578218.2526600002</v>
      </c>
      <c r="J74" s="12">
        <v>2856.7498000000001</v>
      </c>
      <c r="K74" s="16">
        <v>3581075.0024600001</v>
      </c>
      <c r="L74" s="12"/>
      <c r="M74" s="12">
        <v>62392</v>
      </c>
      <c r="N74" s="12">
        <v>9617761.4436499998</v>
      </c>
      <c r="O74" s="16">
        <v>9680153.4436499998</v>
      </c>
      <c r="P74" s="12"/>
      <c r="Q74" s="12">
        <v>83893.857109999997</v>
      </c>
      <c r="R74" s="12">
        <v>538143</v>
      </c>
      <c r="S74" s="12">
        <v>329550.08163999999</v>
      </c>
      <c r="T74" s="13">
        <f t="shared" si="16"/>
        <v>4529805.1914100004</v>
      </c>
      <c r="U74" s="14">
        <f t="shared" si="12"/>
        <v>-1.0141208364021164</v>
      </c>
      <c r="V74" s="14">
        <f t="shared" si="13"/>
        <v>11.963966580099168</v>
      </c>
      <c r="W74" s="15">
        <f t="shared" si="14"/>
        <v>75.743379340119731</v>
      </c>
      <c r="X74" s="15">
        <f t="shared" si="15"/>
        <v>28.020498222027477</v>
      </c>
      <c r="Y74" s="15">
        <f t="shared" si="10"/>
        <v>15.208847393547652</v>
      </c>
      <c r="Z74" s="14">
        <f t="shared" si="11"/>
        <v>-498.96884860318823</v>
      </c>
    </row>
    <row r="75" spans="1:26" s="1" customFormat="1" ht="12" x14ac:dyDescent="0.2">
      <c r="A75" s="24">
        <v>43665</v>
      </c>
      <c r="B75" s="10">
        <v>1324902.9739900001</v>
      </c>
      <c r="C75" s="10">
        <v>11325687.842080001</v>
      </c>
      <c r="D75" s="11">
        <v>12650590.81607</v>
      </c>
      <c r="E75" s="10"/>
      <c r="F75" s="10">
        <v>35263</v>
      </c>
      <c r="G75" s="10">
        <v>273707.06594</v>
      </c>
      <c r="H75" s="10">
        <v>499446.52036999998</v>
      </c>
      <c r="I75" s="10">
        <v>3487418.7272299998</v>
      </c>
      <c r="J75" s="10">
        <v>5317.9562999999998</v>
      </c>
      <c r="K75" s="11">
        <v>3492736.68353</v>
      </c>
      <c r="L75" s="10"/>
      <c r="M75" s="10">
        <v>66001.53</v>
      </c>
      <c r="N75" s="12">
        <v>9592376.1534599997</v>
      </c>
      <c r="O75" s="11">
        <v>9658377.6834600009</v>
      </c>
      <c r="P75" s="10"/>
      <c r="Q75" s="10">
        <v>79027.683260000005</v>
      </c>
      <c r="R75" s="10">
        <v>533013</v>
      </c>
      <c r="S75" s="10">
        <v>334685.15383000002</v>
      </c>
      <c r="T75" s="13">
        <f t="shared" si="16"/>
        <v>4434144.5643199999</v>
      </c>
      <c r="U75" s="14">
        <f t="shared" si="12"/>
        <v>-1.2499361932498372</v>
      </c>
      <c r="V75" s="14">
        <f t="shared" si="13"/>
        <v>11.698211997927336</v>
      </c>
      <c r="W75" s="15">
        <f t="shared" si="14"/>
        <v>76.347245941991886</v>
      </c>
      <c r="X75" s="15">
        <f t="shared" si="15"/>
        <v>27.609277181688537</v>
      </c>
      <c r="Y75" s="15">
        <f t="shared" si="10"/>
        <v>15.390581079806584</v>
      </c>
      <c r="Z75" s="14">
        <f t="shared" si="11"/>
        <v>-497.93720712840252</v>
      </c>
    </row>
    <row r="76" spans="1:26" s="1" customFormat="1" ht="12" x14ac:dyDescent="0.2">
      <c r="A76" s="24">
        <v>43637</v>
      </c>
      <c r="B76" s="12">
        <v>1288828.4925599999</v>
      </c>
      <c r="C76" s="12">
        <v>11203638.01024</v>
      </c>
      <c r="D76" s="16">
        <v>12492466.502800001</v>
      </c>
      <c r="E76" s="12"/>
      <c r="F76" s="12">
        <v>51230</v>
      </c>
      <c r="G76" s="12">
        <v>262500.24789</v>
      </c>
      <c r="H76" s="12">
        <v>490286.95215999999</v>
      </c>
      <c r="I76" s="12">
        <v>3464635.76199</v>
      </c>
      <c r="J76" s="12">
        <v>2010.1153999999999</v>
      </c>
      <c r="K76" s="16">
        <v>3466645.87739</v>
      </c>
      <c r="L76" s="12"/>
      <c r="M76" s="12">
        <v>71419.48</v>
      </c>
      <c r="N76" s="12">
        <v>9577348.7813499998</v>
      </c>
      <c r="O76" s="16">
        <v>9648768.2613500003</v>
      </c>
      <c r="P76" s="12"/>
      <c r="Q76" s="12">
        <v>79450.852400000003</v>
      </c>
      <c r="R76" s="12">
        <v>503248</v>
      </c>
      <c r="S76" s="12">
        <v>320877.72155000002</v>
      </c>
      <c r="T76" s="13">
        <f t="shared" si="16"/>
        <v>4368212.3359399997</v>
      </c>
      <c r="U76" s="14">
        <f t="shared" si="12"/>
        <v>5.6761959925283059E-2</v>
      </c>
      <c r="V76" s="14">
        <f t="shared" si="13"/>
        <v>11.503660609009547</v>
      </c>
      <c r="W76" s="15">
        <f t="shared" si="14"/>
        <v>77.23669508489273</v>
      </c>
      <c r="X76" s="15">
        <f t="shared" si="15"/>
        <v>27.749891317403197</v>
      </c>
      <c r="Y76" s="15">
        <f t="shared" si="10"/>
        <v>15.573631724283842</v>
      </c>
      <c r="Z76" s="14">
        <f t="shared" si="11"/>
        <v>-491.6478858333482</v>
      </c>
    </row>
    <row r="77" spans="1:26" s="1" customFormat="1" ht="12" x14ac:dyDescent="0.2">
      <c r="A77" s="24">
        <v>43609</v>
      </c>
      <c r="B77" s="10">
        <v>1313088.9790099999</v>
      </c>
      <c r="C77" s="10">
        <v>11186468.492620001</v>
      </c>
      <c r="D77" s="11">
        <v>12499557.47163</v>
      </c>
      <c r="E77" s="10"/>
      <c r="F77" s="10">
        <v>64295</v>
      </c>
      <c r="G77" s="10">
        <v>252062.74856000001</v>
      </c>
      <c r="H77" s="10">
        <v>484393.63655</v>
      </c>
      <c r="I77" s="10">
        <v>3519970.3650799999</v>
      </c>
      <c r="J77" s="10">
        <v>1929.6859999999999</v>
      </c>
      <c r="K77" s="11">
        <v>3521900.0510800001</v>
      </c>
      <c r="L77" s="10"/>
      <c r="M77" s="10">
        <v>65722.59</v>
      </c>
      <c r="N77" s="12">
        <v>9555822.3987300005</v>
      </c>
      <c r="O77" s="11">
        <v>9621544.9887300003</v>
      </c>
      <c r="P77" s="10"/>
      <c r="Q77" s="10">
        <v>77422.559649999996</v>
      </c>
      <c r="R77" s="10">
        <v>498195</v>
      </c>
      <c r="S77" s="10">
        <v>319914.22745000001</v>
      </c>
      <c r="T77" s="13">
        <f t="shared" si="16"/>
        <v>4415502.1521800002</v>
      </c>
      <c r="U77" s="14">
        <f t="shared" si="12"/>
        <v>-0.1255101849453969</v>
      </c>
      <c r="V77" s="14">
        <f t="shared" si="13"/>
        <v>11.738190474288452</v>
      </c>
      <c r="W77" s="15">
        <f t="shared" si="14"/>
        <v>76.975085002551751</v>
      </c>
      <c r="X77" s="15">
        <f t="shared" si="15"/>
        <v>28.176197909994716</v>
      </c>
      <c r="Y77" s="15">
        <f t="shared" si="10"/>
        <v>15.764317293892477</v>
      </c>
      <c r="Z77" s="14">
        <f t="shared" si="11"/>
        <v>-485.99912237100671</v>
      </c>
    </row>
    <row r="78" spans="1:26" s="1" customFormat="1" ht="12" x14ac:dyDescent="0.2">
      <c r="A78" s="24">
        <v>43581</v>
      </c>
      <c r="B78" s="12">
        <v>1351722.20814</v>
      </c>
      <c r="C78" s="12">
        <v>11132147.04579</v>
      </c>
      <c r="D78" s="16">
        <v>12483869.253930001</v>
      </c>
      <c r="E78" s="12"/>
      <c r="F78" s="12">
        <v>105478</v>
      </c>
      <c r="G78" s="12">
        <v>254807.55554999999</v>
      </c>
      <c r="H78" s="12">
        <v>487895.6508</v>
      </c>
      <c r="I78" s="12">
        <v>3454330.8086100002</v>
      </c>
      <c r="J78" s="12">
        <v>1179.9096</v>
      </c>
      <c r="K78" s="16">
        <v>3455510.7182100001</v>
      </c>
      <c r="L78" s="12"/>
      <c r="M78" s="12">
        <v>43161.73</v>
      </c>
      <c r="N78" s="12">
        <v>9577783.7614099998</v>
      </c>
      <c r="O78" s="16">
        <v>9620945.4914100002</v>
      </c>
      <c r="P78" s="12"/>
      <c r="Q78" s="12">
        <v>78168.481920000006</v>
      </c>
      <c r="R78" s="12">
        <v>522944</v>
      </c>
      <c r="S78" s="12">
        <v>319907.81451</v>
      </c>
      <c r="T78" s="13">
        <f t="shared" si="16"/>
        <v>4375351.1050400008</v>
      </c>
      <c r="U78" s="14">
        <f t="shared" si="12"/>
        <v>0.72014930276282951</v>
      </c>
      <c r="V78" s="14">
        <f t="shared" si="13"/>
        <v>12.142511256633101</v>
      </c>
      <c r="W78" s="15">
        <f t="shared" si="14"/>
        <v>77.067015808270071</v>
      </c>
      <c r="X78" s="15">
        <f t="shared" si="15"/>
        <v>27.679805418678054</v>
      </c>
      <c r="Y78" s="15">
        <f t="shared" si="10"/>
        <v>15.957113060769956</v>
      </c>
      <c r="Z78" s="14">
        <f t="shared" si="11"/>
        <v>-476.99675007550644</v>
      </c>
    </row>
    <row r="79" spans="1:26" s="1" customFormat="1" ht="12" x14ac:dyDescent="0.2">
      <c r="A79" s="24">
        <v>43553</v>
      </c>
      <c r="B79" s="10">
        <v>1511287.3441300001</v>
      </c>
      <c r="C79" s="10">
        <v>11062484.407190001</v>
      </c>
      <c r="D79" s="11">
        <v>12573771.751320001</v>
      </c>
      <c r="E79" s="10"/>
      <c r="F79" s="10">
        <v>180688</v>
      </c>
      <c r="G79" s="10">
        <v>271426.18021999998</v>
      </c>
      <c r="H79" s="10">
        <v>543646.17098000005</v>
      </c>
      <c r="I79" s="10">
        <v>3379001.4693800001</v>
      </c>
      <c r="J79" s="10">
        <v>2054.6790999999998</v>
      </c>
      <c r="K79" s="11">
        <v>3381056.14848</v>
      </c>
      <c r="L79" s="10"/>
      <c r="M79" s="10">
        <v>41610.33</v>
      </c>
      <c r="N79" s="12">
        <v>9730112.1051599998</v>
      </c>
      <c r="O79" s="11">
        <v>9771722.4351599999</v>
      </c>
      <c r="P79" s="10"/>
      <c r="Q79" s="10">
        <v>74876.68419</v>
      </c>
      <c r="R79" s="10">
        <v>565707</v>
      </c>
      <c r="S79" s="10">
        <v>327814.05220999999</v>
      </c>
      <c r="T79" s="13">
        <f t="shared" si="16"/>
        <v>4347399.2057800004</v>
      </c>
      <c r="U79" s="14">
        <f t="shared" si="12"/>
        <v>-3.6131223467000519</v>
      </c>
      <c r="V79" s="14">
        <f t="shared" si="13"/>
        <v>13.661373779182433</v>
      </c>
      <c r="W79" s="15">
        <f t="shared" si="14"/>
        <v>77.715125011189741</v>
      </c>
      <c r="X79" s="15">
        <f t="shared" si="15"/>
        <v>26.889752854986053</v>
      </c>
      <c r="Y79" s="15">
        <f t="shared" si="10"/>
        <v>16.171250578187745</v>
      </c>
      <c r="Z79" s="14">
        <f t="shared" si="11"/>
        <v>-484.4183013789916</v>
      </c>
    </row>
    <row r="80" spans="1:26" s="1" customFormat="1" ht="12" x14ac:dyDescent="0.2">
      <c r="A80" s="24">
        <v>43511</v>
      </c>
      <c r="B80" s="12">
        <v>1287715.6007000001</v>
      </c>
      <c r="C80" s="12">
        <v>10831750.393650001</v>
      </c>
      <c r="D80" s="16">
        <v>12119465.994349999</v>
      </c>
      <c r="E80" s="12"/>
      <c r="F80" s="12">
        <v>124528</v>
      </c>
      <c r="G80" s="12">
        <v>250757.51725</v>
      </c>
      <c r="H80" s="12">
        <v>516695.77256000001</v>
      </c>
      <c r="I80" s="12">
        <v>3353658.4499300001</v>
      </c>
      <c r="J80" s="12">
        <v>1196.7152000000001</v>
      </c>
      <c r="K80" s="16">
        <v>3354855.1651300001</v>
      </c>
      <c r="L80" s="12"/>
      <c r="M80" s="12">
        <v>61740.17</v>
      </c>
      <c r="N80" s="12">
        <v>9378625.7620599996</v>
      </c>
      <c r="O80" s="16">
        <v>9440365.9320599996</v>
      </c>
      <c r="P80" s="12"/>
      <c r="Q80" s="12">
        <v>66633.47</v>
      </c>
      <c r="R80" s="12">
        <v>491843</v>
      </c>
      <c r="S80" s="12">
        <v>315607.00916000002</v>
      </c>
      <c r="T80" s="13">
        <f t="shared" si="16"/>
        <v>4227741.9290899998</v>
      </c>
      <c r="U80" s="14">
        <f t="shared" si="12"/>
        <v>-1.1014680911042847</v>
      </c>
      <c r="V80" s="14">
        <f t="shared" si="13"/>
        <v>11.888342639938507</v>
      </c>
      <c r="W80" s="15">
        <f t="shared" si="14"/>
        <v>77.89424003055106</v>
      </c>
      <c r="X80" s="15">
        <f t="shared" si="15"/>
        <v>27.681542789872154</v>
      </c>
      <c r="Y80" s="15">
        <f t="shared" si="10"/>
        <v>16.389958995445546</v>
      </c>
      <c r="Z80" s="14">
        <f t="shared" si="11"/>
        <v>-482.23678647490044</v>
      </c>
    </row>
    <row r="81" spans="1:26" s="1" customFormat="1" ht="12" x14ac:dyDescent="0.2">
      <c r="A81" s="24">
        <v>43483</v>
      </c>
      <c r="B81" s="10">
        <v>1216818.5297600001</v>
      </c>
      <c r="C81" s="10">
        <v>10769155.41385</v>
      </c>
      <c r="D81" s="11">
        <v>11985973.943609999</v>
      </c>
      <c r="E81" s="10"/>
      <c r="F81" s="10">
        <v>104995</v>
      </c>
      <c r="G81" s="10">
        <v>256876.35534000001</v>
      </c>
      <c r="H81" s="10">
        <v>489834.17796</v>
      </c>
      <c r="I81" s="10">
        <v>3361983.47731</v>
      </c>
      <c r="J81" s="10">
        <v>1447.5598</v>
      </c>
      <c r="K81" s="11">
        <v>3363431.0371099999</v>
      </c>
      <c r="L81" s="10"/>
      <c r="M81" s="10">
        <v>70948.899999999994</v>
      </c>
      <c r="N81" s="12">
        <v>9261605.6498600002</v>
      </c>
      <c r="O81" s="11">
        <v>9332554.5498600006</v>
      </c>
      <c r="P81" s="10"/>
      <c r="Q81" s="10">
        <v>68627.869160000002</v>
      </c>
      <c r="R81" s="10">
        <v>501646</v>
      </c>
      <c r="S81" s="10">
        <v>318894.50300000003</v>
      </c>
      <c r="T81" s="13">
        <f t="shared" si="16"/>
        <v>4251151.8494699998</v>
      </c>
      <c r="U81" s="14">
        <f t="shared" si="12"/>
        <v>-1.4158318216641212</v>
      </c>
      <c r="V81" s="14">
        <f t="shared" si="13"/>
        <v>11.299108267999118</v>
      </c>
      <c r="W81" s="15">
        <f t="shared" si="14"/>
        <v>77.862296328746822</v>
      </c>
      <c r="X81" s="15">
        <f t="shared" si="15"/>
        <v>28.061391197192808</v>
      </c>
      <c r="Y81" s="15">
        <f t="shared" si="10"/>
        <v>16.618978892115503</v>
      </c>
      <c r="Z81" s="14">
        <f t="shared" si="11"/>
        <v>-481.17710488945011</v>
      </c>
    </row>
    <row r="82" spans="1:26" s="1" customFormat="1" ht="12" x14ac:dyDescent="0.2">
      <c r="A82" s="24">
        <v>43455</v>
      </c>
      <c r="B82" s="12">
        <v>1189912.61619</v>
      </c>
      <c r="C82" s="12">
        <v>10626360.09419</v>
      </c>
      <c r="D82" s="16">
        <v>11816272.710379999</v>
      </c>
      <c r="E82" s="12"/>
      <c r="F82" s="12">
        <v>177989</v>
      </c>
      <c r="G82" s="12">
        <v>255215.97988</v>
      </c>
      <c r="H82" s="12">
        <v>537091.71319000004</v>
      </c>
      <c r="I82" s="12">
        <v>3346558.31892</v>
      </c>
      <c r="J82" s="12">
        <v>1352.6104</v>
      </c>
      <c r="K82" s="16">
        <v>3347910.9293200001</v>
      </c>
      <c r="L82" s="12"/>
      <c r="M82" s="12">
        <v>77341.759999999995</v>
      </c>
      <c r="N82" s="12">
        <v>9210293.8234800007</v>
      </c>
      <c r="O82" s="16">
        <v>9287635.5834800005</v>
      </c>
      <c r="P82" s="12"/>
      <c r="Q82" s="12">
        <v>69219.271410000001</v>
      </c>
      <c r="R82" s="12">
        <v>482114</v>
      </c>
      <c r="S82" s="12">
        <v>311928.35327999998</v>
      </c>
      <c r="T82" s="13">
        <f t="shared" si="16"/>
        <v>4209819.9436099995</v>
      </c>
      <c r="U82" s="14">
        <f t="shared" si="12"/>
        <v>-2.2837013127060376E-2</v>
      </c>
      <c r="V82" s="14">
        <f t="shared" si="13"/>
        <v>11.197744153622171</v>
      </c>
      <c r="W82" s="15">
        <f t="shared" si="14"/>
        <v>78.600382803633849</v>
      </c>
      <c r="X82" s="15">
        <f t="shared" si="15"/>
        <v>28.333054012700888</v>
      </c>
      <c r="Y82" s="15">
        <f t="shared" si="10"/>
        <v>16.851041266931844</v>
      </c>
      <c r="Z82" s="14">
        <f t="shared" si="11"/>
        <v>-474.43058448868891</v>
      </c>
    </row>
    <row r="83" spans="1:26" s="1" customFormat="1" ht="12" x14ac:dyDescent="0.2">
      <c r="A83" s="24">
        <v>43427</v>
      </c>
      <c r="B83" s="10">
        <v>1225962.4066300001</v>
      </c>
      <c r="C83" s="10">
        <v>10587611.82</v>
      </c>
      <c r="D83" s="11">
        <v>11813574.22663</v>
      </c>
      <c r="E83" s="10"/>
      <c r="F83" s="10">
        <v>144572</v>
      </c>
      <c r="G83" s="10">
        <v>225198.46330999999</v>
      </c>
      <c r="H83" s="10">
        <v>513477.96490000002</v>
      </c>
      <c r="I83" s="10">
        <v>3425086.9064099998</v>
      </c>
      <c r="J83" s="10">
        <v>1074.1569</v>
      </c>
      <c r="K83" s="11">
        <v>3426161.0633100001</v>
      </c>
      <c r="L83" s="10"/>
      <c r="M83" s="10">
        <v>72288.05</v>
      </c>
      <c r="N83" s="12">
        <v>9060338.4454399999</v>
      </c>
      <c r="O83" s="11">
        <v>9132626.4954400007</v>
      </c>
      <c r="P83" s="10"/>
      <c r="Q83" s="10">
        <v>76241.879050000003</v>
      </c>
      <c r="R83" s="10">
        <v>476573</v>
      </c>
      <c r="S83" s="10">
        <v>287252.20341999998</v>
      </c>
      <c r="T83" s="13">
        <f t="shared" si="16"/>
        <v>4265153.9888800001</v>
      </c>
      <c r="U83" s="14">
        <f t="shared" si="12"/>
        <v>-0.35822722757863029</v>
      </c>
      <c r="V83" s="14">
        <f t="shared" si="13"/>
        <v>11.579215667070047</v>
      </c>
      <c r="W83" s="15">
        <f t="shared" si="14"/>
        <v>77.306209960177469</v>
      </c>
      <c r="X83" s="15">
        <f t="shared" si="15"/>
        <v>29.001900674452902</v>
      </c>
      <c r="Y83" s="15">
        <f t="shared" si="10"/>
        <v>17.09515166655186</v>
      </c>
      <c r="Z83" s="14">
        <f t="shared" si="11"/>
        <v>-468.90303600378064</v>
      </c>
    </row>
    <row r="84" spans="1:26" s="1" customFormat="1" ht="12" x14ac:dyDescent="0.2">
      <c r="A84" s="24">
        <v>43399</v>
      </c>
      <c r="B84" s="12">
        <v>1237589.85274</v>
      </c>
      <c r="C84" s="12">
        <v>10533664.934459999</v>
      </c>
      <c r="D84" s="16">
        <v>11771254.7872</v>
      </c>
      <c r="E84" s="12"/>
      <c r="F84" s="12">
        <v>132608</v>
      </c>
      <c r="G84" s="12">
        <v>236779.82117000001</v>
      </c>
      <c r="H84" s="12">
        <v>490952.89938999998</v>
      </c>
      <c r="I84" s="12">
        <v>3434870.76406</v>
      </c>
      <c r="J84" s="12">
        <v>985.81089999999995</v>
      </c>
      <c r="K84" s="16">
        <v>3435856.5749599999</v>
      </c>
      <c r="L84" s="12"/>
      <c r="M84" s="12">
        <v>55034.75</v>
      </c>
      <c r="N84" s="12">
        <v>8978940.4672400001</v>
      </c>
      <c r="O84" s="16">
        <v>9033975.2172400001</v>
      </c>
      <c r="P84" s="12"/>
      <c r="Q84" s="12">
        <v>76336.95968</v>
      </c>
      <c r="R84" s="12">
        <v>474761</v>
      </c>
      <c r="S84" s="12">
        <v>285998.53976999997</v>
      </c>
      <c r="T84" s="13">
        <f t="shared" si="16"/>
        <v>4271967.26351</v>
      </c>
      <c r="U84" s="14">
        <f t="shared" si="12"/>
        <v>0.2429693426659941</v>
      </c>
      <c r="V84" s="14">
        <f t="shared" si="13"/>
        <v>11.748900885306583</v>
      </c>
      <c r="W84" s="15">
        <f t="shared" si="14"/>
        <v>76.746068117253714</v>
      </c>
      <c r="X84" s="15">
        <f t="shared" si="15"/>
        <v>29.188532888576436</v>
      </c>
      <c r="Y84" s="15">
        <f t="shared" si="10"/>
        <v>17.346179656922562</v>
      </c>
      <c r="Z84" s="14">
        <f t="shared" si="11"/>
        <v>-460.89130333395349</v>
      </c>
    </row>
    <row r="85" spans="1:26" s="1" customFormat="1" ht="12" x14ac:dyDescent="0.2">
      <c r="A85" s="24">
        <v>43371</v>
      </c>
      <c r="B85" s="10">
        <v>1309587.5815399999</v>
      </c>
      <c r="C85" s="10">
        <v>10490267.74604</v>
      </c>
      <c r="D85" s="11">
        <v>11799855.327579999</v>
      </c>
      <c r="E85" s="10"/>
      <c r="F85" s="10">
        <v>179616</v>
      </c>
      <c r="G85" s="10">
        <v>236108.38568000001</v>
      </c>
      <c r="H85" s="10">
        <v>502545.25345000002</v>
      </c>
      <c r="I85" s="10">
        <v>3446303.68279</v>
      </c>
      <c r="J85" s="10">
        <v>1682.9355</v>
      </c>
      <c r="K85" s="11">
        <v>3447986.6182900001</v>
      </c>
      <c r="L85" s="10"/>
      <c r="M85" s="10">
        <v>47663.74</v>
      </c>
      <c r="N85" s="12">
        <v>8934000.3028900009</v>
      </c>
      <c r="O85" s="11">
        <v>8981664.0428899992</v>
      </c>
      <c r="P85" s="10"/>
      <c r="Q85" s="10">
        <v>72505.071060000002</v>
      </c>
      <c r="R85" s="10">
        <v>505127</v>
      </c>
      <c r="S85" s="10">
        <v>284585.79888999998</v>
      </c>
      <c r="T85" s="13">
        <f t="shared" si="16"/>
        <v>4308521.5527400002</v>
      </c>
      <c r="U85" s="14">
        <f t="shared" si="12"/>
        <v>-1.2995035643496162</v>
      </c>
      <c r="V85" s="14">
        <f t="shared" si="13"/>
        <v>12.483833713723463</v>
      </c>
      <c r="W85" s="15">
        <f t="shared" si="14"/>
        <v>76.116730193267756</v>
      </c>
      <c r="X85" s="15">
        <f t="shared" si="15"/>
        <v>29.220583834031959</v>
      </c>
      <c r="Y85" s="15">
        <f t="shared" si="10"/>
        <v>17.618004685246156</v>
      </c>
      <c r="Z85" s="14">
        <f t="shared" si="11"/>
        <v>-458.72817598950428</v>
      </c>
    </row>
    <row r="86" spans="1:26" s="1" customFormat="1" ht="12" x14ac:dyDescent="0.2">
      <c r="A86" s="24">
        <v>43343</v>
      </c>
      <c r="B86" s="12">
        <v>1229034.3694500001</v>
      </c>
      <c r="C86" s="12">
        <v>10417481.41756</v>
      </c>
      <c r="D86" s="16">
        <v>11646515.787009999</v>
      </c>
      <c r="E86" s="12"/>
      <c r="F86" s="12">
        <v>61661</v>
      </c>
      <c r="G86" s="12">
        <v>234936.47443999999</v>
      </c>
      <c r="H86" s="12">
        <v>520551.13549999997</v>
      </c>
      <c r="I86" s="12">
        <v>3503462.7015200001</v>
      </c>
      <c r="J86" s="12">
        <v>1233.703</v>
      </c>
      <c r="K86" s="16">
        <v>3504696.4045199999</v>
      </c>
      <c r="L86" s="12"/>
      <c r="M86" s="12">
        <v>48854.17</v>
      </c>
      <c r="N86" s="12">
        <v>8731898.6429699995</v>
      </c>
      <c r="O86" s="16">
        <v>8780752.8129699994</v>
      </c>
      <c r="P86" s="12"/>
      <c r="Q86" s="12">
        <v>70969.019409999994</v>
      </c>
      <c r="R86" s="12">
        <v>475461</v>
      </c>
      <c r="S86" s="12">
        <v>287642.44598999998</v>
      </c>
      <c r="T86" s="13">
        <f t="shared" si="16"/>
        <v>4337535.1669199998</v>
      </c>
      <c r="U86" s="14">
        <f t="shared" si="12"/>
        <v>-1.7977655102956176</v>
      </c>
      <c r="V86" s="14">
        <f t="shared" si="13"/>
        <v>11.797807168422736</v>
      </c>
      <c r="W86" s="15">
        <f t="shared" si="14"/>
        <v>75.393817117078541</v>
      </c>
      <c r="X86" s="15">
        <f t="shared" si="15"/>
        <v>30.092230746202919</v>
      </c>
      <c r="Y86" s="15">
        <f t="shared" si="10"/>
        <v>17.90522166619532</v>
      </c>
      <c r="Z86" s="14">
        <f t="shared" si="11"/>
        <v>-458.34220293231203</v>
      </c>
    </row>
    <row r="87" spans="1:26" s="1" customFormat="1" ht="12" x14ac:dyDescent="0.2">
      <c r="A87" s="24">
        <v>43301</v>
      </c>
      <c r="B87" s="10">
        <v>1162194.1294100001</v>
      </c>
      <c r="C87" s="10">
        <v>10274944.613630001</v>
      </c>
      <c r="D87" s="11">
        <v>11437138.743039999</v>
      </c>
      <c r="E87" s="10"/>
      <c r="F87" s="10">
        <v>74630</v>
      </c>
      <c r="G87" s="10">
        <v>226690.25782999999</v>
      </c>
      <c r="H87" s="10">
        <v>466381.92346000002</v>
      </c>
      <c r="I87" s="10">
        <v>3462291.8810999999</v>
      </c>
      <c r="J87" s="10">
        <v>5053.6391999999996</v>
      </c>
      <c r="K87" s="11">
        <v>3467345.5203</v>
      </c>
      <c r="L87" s="10"/>
      <c r="M87" s="10">
        <v>50642.47</v>
      </c>
      <c r="N87" s="12">
        <v>8559091.2154099997</v>
      </c>
      <c r="O87" s="11">
        <v>8609733.6854100004</v>
      </c>
      <c r="P87" s="10"/>
      <c r="Q87" s="10">
        <v>67555.056469999996</v>
      </c>
      <c r="R87" s="10">
        <v>483231</v>
      </c>
      <c r="S87" s="10">
        <v>279280.42197000002</v>
      </c>
      <c r="T87" s="13">
        <f t="shared" si="16"/>
        <v>4292358.3595399996</v>
      </c>
      <c r="U87" s="14">
        <f t="shared" si="12"/>
        <v>-0.73581533948962063</v>
      </c>
      <c r="V87" s="14">
        <f t="shared" si="13"/>
        <v>11.310952740984288</v>
      </c>
      <c r="W87" s="15">
        <f t="shared" si="14"/>
        <v>75.278737793133814</v>
      </c>
      <c r="X87" s="15">
        <f t="shared" si="15"/>
        <v>30.316546805992296</v>
      </c>
      <c r="Y87" s="15">
        <f t="shared" si="10"/>
        <v>18.201478169246563</v>
      </c>
      <c r="Z87" s="14">
        <f t="shared" si="11"/>
        <v>-453.65237138658847</v>
      </c>
    </row>
    <row r="88" spans="1:26" s="1" customFormat="1" ht="12" x14ac:dyDescent="0.2">
      <c r="A88" s="24">
        <v>43273</v>
      </c>
      <c r="B88" s="12">
        <v>1176326.2743899999</v>
      </c>
      <c r="C88" s="12">
        <v>10176656.24738</v>
      </c>
      <c r="D88" s="16">
        <v>11352982.52177</v>
      </c>
      <c r="E88" s="12"/>
      <c r="F88" s="12">
        <v>99890</v>
      </c>
      <c r="G88" s="12">
        <v>241562.09583999999</v>
      </c>
      <c r="H88" s="12">
        <v>477635.54259000003</v>
      </c>
      <c r="I88" s="12">
        <v>3395508.1769900001</v>
      </c>
      <c r="J88" s="12">
        <v>1056.1829</v>
      </c>
      <c r="K88" s="16">
        <v>3396564.35989</v>
      </c>
      <c r="L88" s="12"/>
      <c r="M88" s="12">
        <v>62538.19</v>
      </c>
      <c r="N88" s="12">
        <v>8551880.3547399994</v>
      </c>
      <c r="O88" s="16">
        <v>8614418.5447400007</v>
      </c>
      <c r="P88" s="12"/>
      <c r="Q88" s="12">
        <v>70773.483370000002</v>
      </c>
      <c r="R88" s="12">
        <v>485127</v>
      </c>
      <c r="S88" s="12">
        <v>285556.36015999998</v>
      </c>
      <c r="T88" s="13">
        <f t="shared" si="16"/>
        <v>4236965.0205199998</v>
      </c>
      <c r="U88" s="14">
        <f t="shared" si="12"/>
        <v>-1.4102090767125449E-3</v>
      </c>
      <c r="V88" s="14">
        <f t="shared" si="13"/>
        <v>11.559064645549439</v>
      </c>
      <c r="W88" s="15">
        <f t="shared" si="14"/>
        <v>75.878021728839585</v>
      </c>
      <c r="X88" s="15">
        <f t="shared" si="15"/>
        <v>29.917815458421533</v>
      </c>
      <c r="Y88" s="15">
        <f t="shared" si="10"/>
        <v>18.507603852801292</v>
      </c>
      <c r="Z88" s="14">
        <f t="shared" si="11"/>
        <v>-445.91137662738572</v>
      </c>
    </row>
    <row r="89" spans="1:26" s="1" customFormat="1" ht="12" x14ac:dyDescent="0.2">
      <c r="A89" s="24">
        <v>43245</v>
      </c>
      <c r="B89" s="10">
        <v>1169886.6121499999</v>
      </c>
      <c r="C89" s="10">
        <v>10182935.80883</v>
      </c>
      <c r="D89" s="11">
        <v>11352822.420980001</v>
      </c>
      <c r="E89" s="10"/>
      <c r="F89" s="10">
        <v>58179</v>
      </c>
      <c r="G89" s="10">
        <v>244325.04123</v>
      </c>
      <c r="H89" s="10">
        <v>489814.00942000002</v>
      </c>
      <c r="I89" s="10">
        <v>3372680.3388399999</v>
      </c>
      <c r="J89" s="10">
        <v>1203.7545</v>
      </c>
      <c r="K89" s="11">
        <v>3373884.0933400001</v>
      </c>
      <c r="L89" s="10"/>
      <c r="M89" s="10">
        <v>52910.52</v>
      </c>
      <c r="N89" s="12">
        <v>8484744.8708299994</v>
      </c>
      <c r="O89" s="11">
        <v>8537655.3908300009</v>
      </c>
      <c r="P89" s="10"/>
      <c r="Q89" s="10">
        <v>67230.581260000006</v>
      </c>
      <c r="R89" s="10">
        <v>470854</v>
      </c>
      <c r="S89" s="10">
        <v>287064.74738000002</v>
      </c>
      <c r="T89" s="13">
        <f t="shared" si="16"/>
        <v>4197829.6674799994</v>
      </c>
      <c r="U89" s="14">
        <f t="shared" si="12"/>
        <v>0.25191338972366639</v>
      </c>
      <c r="V89" s="14">
        <f t="shared" si="13"/>
        <v>11.488696718833758</v>
      </c>
      <c r="W89" s="15">
        <f t="shared" si="14"/>
        <v>75.202932576946026</v>
      </c>
      <c r="X89" s="15">
        <f t="shared" si="15"/>
        <v>29.718460909818045</v>
      </c>
      <c r="Y89" s="15">
        <f t="shared" si="10"/>
        <v>18.827487463232636</v>
      </c>
      <c r="Z89" s="14">
        <f t="shared" si="11"/>
        <v>-437.06171603710544</v>
      </c>
    </row>
    <row r="90" spans="1:26" s="1" customFormat="1" ht="12" x14ac:dyDescent="0.2">
      <c r="A90" s="24">
        <v>43217</v>
      </c>
      <c r="B90" s="12">
        <v>1217579.9787099999</v>
      </c>
      <c r="C90" s="12">
        <v>10163841.722060001</v>
      </c>
      <c r="D90" s="16">
        <v>11381421.70077</v>
      </c>
      <c r="E90" s="12"/>
      <c r="F90" s="12">
        <v>47576</v>
      </c>
      <c r="G90" s="12">
        <v>248504.96009000001</v>
      </c>
      <c r="H90" s="12">
        <v>497803.83812999999</v>
      </c>
      <c r="I90" s="12">
        <v>3359596.9389</v>
      </c>
      <c r="J90" s="12">
        <v>1211.1903</v>
      </c>
      <c r="K90" s="16">
        <v>3360808.1291999999</v>
      </c>
      <c r="L90" s="12"/>
      <c r="M90" s="12">
        <v>52035.47</v>
      </c>
      <c r="N90" s="12">
        <v>8465589.5822800007</v>
      </c>
      <c r="O90" s="16">
        <v>8517625.0522799995</v>
      </c>
      <c r="P90" s="12"/>
      <c r="Q90" s="12">
        <v>69028.656090000004</v>
      </c>
      <c r="R90" s="12">
        <v>490062</v>
      </c>
      <c r="S90" s="12">
        <v>287874.29797000001</v>
      </c>
      <c r="T90" s="13">
        <f t="shared" si="16"/>
        <v>4206561.8929599999</v>
      </c>
      <c r="U90" s="14">
        <f t="shared" si="12"/>
        <v>0.39211011351051883</v>
      </c>
      <c r="V90" s="14">
        <f t="shared" si="13"/>
        <v>11.979525183546656</v>
      </c>
      <c r="W90" s="15">
        <f t="shared" si="14"/>
        <v>74.83797082840492</v>
      </c>
      <c r="X90" s="15">
        <f t="shared" si="15"/>
        <v>29.528895577014136</v>
      </c>
      <c r="Y90" s="15">
        <f t="shared" ref="Y90:Y116" si="17">STDEV(U91:U183)</f>
        <v>19.163164760297178</v>
      </c>
      <c r="Z90" s="14">
        <f t="shared" ref="Z90:Z116" si="18">(STDEV(U91:U183) / AVERAGE(U91:U183)) * 100</f>
        <v>-427.57649043378382</v>
      </c>
    </row>
    <row r="91" spans="1:26" s="1" customFormat="1" ht="12" x14ac:dyDescent="0.2">
      <c r="A91" s="24">
        <v>43189</v>
      </c>
      <c r="B91" s="10">
        <v>1370282.1319200001</v>
      </c>
      <c r="C91" s="10">
        <v>10055767.2744</v>
      </c>
      <c r="D91" s="11">
        <v>11426049.40632</v>
      </c>
      <c r="E91" s="10"/>
      <c r="F91" s="10">
        <v>273978</v>
      </c>
      <c r="G91" s="10">
        <v>228197.97451</v>
      </c>
      <c r="H91" s="10">
        <v>558867.85537</v>
      </c>
      <c r="I91" s="10">
        <v>3317405.9777099998</v>
      </c>
      <c r="J91" s="10">
        <v>1047.7868000000001</v>
      </c>
      <c r="K91" s="11">
        <v>3318453.7645100001</v>
      </c>
      <c r="L91" s="10"/>
      <c r="M91" s="10">
        <v>41989.31</v>
      </c>
      <c r="N91" s="12">
        <v>8583435.5441299994</v>
      </c>
      <c r="O91" s="11">
        <v>8625424.8541299999</v>
      </c>
      <c r="P91" s="10"/>
      <c r="Q91" s="10">
        <v>60064.567999999999</v>
      </c>
      <c r="R91" s="10">
        <v>525686</v>
      </c>
      <c r="S91" s="10">
        <v>261456.31041999999</v>
      </c>
      <c r="T91" s="13">
        <f t="shared" si="16"/>
        <v>4164612.8561299997</v>
      </c>
      <c r="U91" s="14">
        <f t="shared" si="12"/>
        <v>-3.7088503248165647</v>
      </c>
      <c r="V91" s="14">
        <f t="shared" si="13"/>
        <v>13.626828212387812</v>
      </c>
      <c r="W91" s="15">
        <f t="shared" si="14"/>
        <v>75.489126183535376</v>
      </c>
      <c r="X91" s="15">
        <f t="shared" si="15"/>
        <v>29.042879533450034</v>
      </c>
      <c r="Y91" s="15">
        <f t="shared" si="17"/>
        <v>19.542035235534151</v>
      </c>
      <c r="Z91" s="14">
        <f t="shared" si="18"/>
        <v>-433.15674529816209</v>
      </c>
    </row>
    <row r="92" spans="1:26" s="1" customFormat="1" ht="12" x14ac:dyDescent="0.2">
      <c r="A92" s="24">
        <v>43147</v>
      </c>
      <c r="B92" s="12">
        <v>1127764.9077099999</v>
      </c>
      <c r="C92" s="12">
        <v>9874509.4280900005</v>
      </c>
      <c r="D92" s="16">
        <v>11002274.3358</v>
      </c>
      <c r="E92" s="12"/>
      <c r="F92" s="12">
        <v>66093</v>
      </c>
      <c r="G92" s="12">
        <v>222708.19753999999</v>
      </c>
      <c r="H92" s="12">
        <v>506564.66250999999</v>
      </c>
      <c r="I92" s="12">
        <v>3401388.8868</v>
      </c>
      <c r="J92" s="12">
        <v>1416.5509999999999</v>
      </c>
      <c r="K92" s="16">
        <v>3402805.4378</v>
      </c>
      <c r="L92" s="12"/>
      <c r="M92" s="12">
        <v>47552.36</v>
      </c>
      <c r="N92" s="12">
        <v>8175655.6732400004</v>
      </c>
      <c r="O92" s="16">
        <v>8223208.0332399998</v>
      </c>
      <c r="P92" s="12"/>
      <c r="Q92" s="12">
        <v>60853.301619999998</v>
      </c>
      <c r="R92" s="12">
        <v>450429</v>
      </c>
      <c r="S92" s="12">
        <v>257064.44437000001</v>
      </c>
      <c r="T92" s="13">
        <f t="shared" si="16"/>
        <v>4169735.6327900002</v>
      </c>
      <c r="U92" s="14">
        <f t="shared" si="12"/>
        <v>-0.68015138575945189</v>
      </c>
      <c r="V92" s="14">
        <f t="shared" si="13"/>
        <v>11.420971501650998</v>
      </c>
      <c r="W92" s="15">
        <f t="shared" si="14"/>
        <v>74.740983384523759</v>
      </c>
      <c r="X92" s="15">
        <f t="shared" si="15"/>
        <v>30.928200242450821</v>
      </c>
      <c r="Y92" s="15">
        <f t="shared" si="17"/>
        <v>19.92905313946693</v>
      </c>
      <c r="Z92" s="14">
        <f t="shared" si="18"/>
        <v>-427.2225365202259</v>
      </c>
    </row>
    <row r="93" spans="1:26" s="1" customFormat="1" ht="12" x14ac:dyDescent="0.2">
      <c r="A93" s="24">
        <v>43119</v>
      </c>
      <c r="B93" s="10">
        <v>1112136.40074</v>
      </c>
      <c r="C93" s="10">
        <v>9815305.8136999998</v>
      </c>
      <c r="D93" s="11">
        <v>10927442.214439999</v>
      </c>
      <c r="E93" s="10"/>
      <c r="F93" s="10">
        <v>52627</v>
      </c>
      <c r="G93" s="10">
        <v>236671.08689000001</v>
      </c>
      <c r="H93" s="10">
        <v>479233.48229000001</v>
      </c>
      <c r="I93" s="10">
        <v>3362092.4837400001</v>
      </c>
      <c r="J93" s="10">
        <v>1493.2838999999999</v>
      </c>
      <c r="K93" s="11">
        <v>3363585.7676400002</v>
      </c>
      <c r="L93" s="10"/>
      <c r="M93" s="10">
        <v>58606.39</v>
      </c>
      <c r="N93" s="12">
        <v>8083399.8096700003</v>
      </c>
      <c r="O93" s="11">
        <v>8142006.19967</v>
      </c>
      <c r="P93" s="10"/>
      <c r="Q93" s="10">
        <v>62828.898289999997</v>
      </c>
      <c r="R93" s="10">
        <v>452322</v>
      </c>
      <c r="S93" s="10">
        <v>259705.25401</v>
      </c>
      <c r="T93" s="13">
        <f t="shared" si="16"/>
        <v>4136948.6360400002</v>
      </c>
      <c r="U93" s="14">
        <f t="shared" si="12"/>
        <v>-0.97523122647289595</v>
      </c>
      <c r="V93" s="14">
        <f t="shared" si="13"/>
        <v>11.330634234418891</v>
      </c>
      <c r="W93" s="15">
        <f t="shared" si="14"/>
        <v>74.509716362634222</v>
      </c>
      <c r="X93" s="15">
        <f t="shared" si="15"/>
        <v>30.781089495904272</v>
      </c>
      <c r="Y93" s="15">
        <f t="shared" si="17"/>
        <v>20.342536006387558</v>
      </c>
      <c r="Z93" s="14">
        <f t="shared" si="18"/>
        <v>-422.17339869225975</v>
      </c>
    </row>
    <row r="94" spans="1:26" s="1" customFormat="1" ht="12" x14ac:dyDescent="0.2">
      <c r="A94" s="24">
        <v>43091</v>
      </c>
      <c r="B94" s="12">
        <v>1133961.4728099999</v>
      </c>
      <c r="C94" s="12">
        <v>9686912.9129000008</v>
      </c>
      <c r="D94" s="16">
        <v>10820874.385709999</v>
      </c>
      <c r="E94" s="12"/>
      <c r="F94" s="12">
        <v>120315</v>
      </c>
      <c r="G94" s="12">
        <v>225133.91725999999</v>
      </c>
      <c r="H94" s="12">
        <v>497163.31481000001</v>
      </c>
      <c r="I94" s="12">
        <v>3331707.76926</v>
      </c>
      <c r="J94" s="12">
        <v>1805.4448</v>
      </c>
      <c r="K94" s="16">
        <v>3333513.2140600001</v>
      </c>
      <c r="L94" s="12"/>
      <c r="M94" s="12">
        <v>66445.91</v>
      </c>
      <c r="N94" s="12">
        <v>8001821.0420300001</v>
      </c>
      <c r="O94" s="16">
        <v>8068266.9520300003</v>
      </c>
      <c r="P94" s="12"/>
      <c r="Q94" s="12">
        <v>71150.918739999994</v>
      </c>
      <c r="R94" s="12">
        <v>447670</v>
      </c>
      <c r="S94" s="12">
        <v>242142.74586</v>
      </c>
      <c r="T94" s="13">
        <f t="shared" si="16"/>
        <v>4092671.4338600002</v>
      </c>
      <c r="U94" s="14">
        <f t="shared" si="12"/>
        <v>-0.24072671469506304</v>
      </c>
      <c r="V94" s="14">
        <f t="shared" si="13"/>
        <v>11.70611817207431</v>
      </c>
      <c r="W94" s="15">
        <f t="shared" si="14"/>
        <v>74.562060924438043</v>
      </c>
      <c r="X94" s="15">
        <f t="shared" si="15"/>
        <v>30.806320221794863</v>
      </c>
      <c r="Y94" s="15">
        <f t="shared" si="17"/>
        <v>20.775821116227736</v>
      </c>
      <c r="Z94" s="14">
        <f t="shared" si="18"/>
        <v>-414.06215282060128</v>
      </c>
    </row>
    <row r="95" spans="1:26" s="1" customFormat="1" ht="12" x14ac:dyDescent="0.2">
      <c r="A95" s="24">
        <v>43063</v>
      </c>
      <c r="B95" s="10">
        <v>1113232.96771</v>
      </c>
      <c r="C95" s="10">
        <v>9681592.6825900003</v>
      </c>
      <c r="D95" s="11">
        <v>10794825.6503</v>
      </c>
      <c r="E95" s="10"/>
      <c r="F95" s="10">
        <v>56272</v>
      </c>
      <c r="G95" s="10">
        <v>215207.99823999999</v>
      </c>
      <c r="H95" s="10">
        <v>475185.34902999998</v>
      </c>
      <c r="I95" s="10">
        <v>3346899.8258600002</v>
      </c>
      <c r="J95" s="10">
        <v>1944.4641999999999</v>
      </c>
      <c r="K95" s="11">
        <v>3348844.29006</v>
      </c>
      <c r="L95" s="10"/>
      <c r="M95" s="10">
        <v>74375.39</v>
      </c>
      <c r="N95" s="12">
        <v>7860339.2215400003</v>
      </c>
      <c r="O95" s="11">
        <v>7934714.61154</v>
      </c>
      <c r="P95" s="10"/>
      <c r="Q95" s="10">
        <v>68583.433319999996</v>
      </c>
      <c r="R95" s="10">
        <v>436590</v>
      </c>
      <c r="S95" s="10">
        <v>249074.12729</v>
      </c>
      <c r="T95" s="13">
        <f t="shared" si="16"/>
        <v>4101147.3864700003</v>
      </c>
      <c r="U95" s="14">
        <f t="shared" si="12"/>
        <v>2.5258247315230981E-2</v>
      </c>
      <c r="V95" s="14">
        <f t="shared" si="13"/>
        <v>11.498448697515233</v>
      </c>
      <c r="W95" s="15">
        <f t="shared" si="14"/>
        <v>73.504796358795161</v>
      </c>
      <c r="X95" s="15">
        <f t="shared" si="15"/>
        <v>31.022680667074344</v>
      </c>
      <c r="Y95" s="15">
        <f t="shared" si="17"/>
        <v>21.234942464510521</v>
      </c>
      <c r="Z95" s="14">
        <f t="shared" si="18"/>
        <v>-404.72332009456869</v>
      </c>
    </row>
    <row r="96" spans="1:26" s="1" customFormat="1" ht="12" x14ac:dyDescent="0.2">
      <c r="A96" s="24">
        <v>43035</v>
      </c>
      <c r="B96" s="12">
        <v>1140697.3968799999</v>
      </c>
      <c r="C96" s="12">
        <v>9656854.8371799998</v>
      </c>
      <c r="D96" s="16">
        <v>10797552.234060001</v>
      </c>
      <c r="E96" s="12"/>
      <c r="F96" s="12">
        <v>32740</v>
      </c>
      <c r="G96" s="12">
        <v>212838.62061000001</v>
      </c>
      <c r="H96" s="12">
        <v>467387.82991999999</v>
      </c>
      <c r="I96" s="12">
        <v>3328484.9247699999</v>
      </c>
      <c r="J96" s="12">
        <v>1767.2484999999999</v>
      </c>
      <c r="K96" s="16">
        <v>3330252.1732700001</v>
      </c>
      <c r="L96" s="12"/>
      <c r="M96" s="12">
        <v>62225.05</v>
      </c>
      <c r="N96" s="12">
        <v>7822419.8606399996</v>
      </c>
      <c r="O96" s="16">
        <v>7884644.9106400004</v>
      </c>
      <c r="P96" s="12"/>
      <c r="Q96" s="12">
        <v>76037.157019999999</v>
      </c>
      <c r="R96" s="12">
        <v>437059</v>
      </c>
      <c r="S96" s="12">
        <v>251139.32672000001</v>
      </c>
      <c r="T96" s="13">
        <f t="shared" si="16"/>
        <v>4092720.40851</v>
      </c>
      <c r="U96" s="14">
        <f t="shared" si="12"/>
        <v>1.1112724294261744</v>
      </c>
      <c r="V96" s="14">
        <f t="shared" si="13"/>
        <v>11.812307589922383</v>
      </c>
      <c r="W96" s="15">
        <f t="shared" si="14"/>
        <v>73.0225215838135</v>
      </c>
      <c r="X96" s="15">
        <f t="shared" si="15"/>
        <v>30.842658605206747</v>
      </c>
      <c r="Y96" s="15">
        <f t="shared" si="17"/>
        <v>21.710629409847765</v>
      </c>
      <c r="Z96" s="14">
        <f t="shared" si="18"/>
        <v>-391.21462206419034</v>
      </c>
    </row>
    <row r="97" spans="1:26" s="1" customFormat="1" ht="12" x14ac:dyDescent="0.2">
      <c r="A97" s="24">
        <v>43007</v>
      </c>
      <c r="B97" s="10">
        <v>1236879.56773</v>
      </c>
      <c r="C97" s="10">
        <v>9680662.8873599991</v>
      </c>
      <c r="D97" s="11">
        <v>10917542.455089999</v>
      </c>
      <c r="E97" s="10"/>
      <c r="F97" s="10">
        <v>40530</v>
      </c>
      <c r="G97" s="10">
        <v>216112.41571999999</v>
      </c>
      <c r="H97" s="10">
        <v>487002.01994999999</v>
      </c>
      <c r="I97" s="10">
        <v>3324506.3719899999</v>
      </c>
      <c r="J97" s="10">
        <v>1291.1176</v>
      </c>
      <c r="K97" s="11">
        <v>3325797.4895899999</v>
      </c>
      <c r="L97" s="10"/>
      <c r="M97" s="10">
        <v>46368.32</v>
      </c>
      <c r="N97" s="12">
        <v>7937069.2159299999</v>
      </c>
      <c r="O97" s="11">
        <v>7983437.5359300002</v>
      </c>
      <c r="P97" s="10"/>
      <c r="Q97" s="10">
        <v>81825.954599999997</v>
      </c>
      <c r="R97" s="10">
        <v>453406</v>
      </c>
      <c r="S97" s="10">
        <v>250255.26134</v>
      </c>
      <c r="T97" s="13">
        <f t="shared" si="16"/>
        <v>4109993.5879299999</v>
      </c>
      <c r="U97" s="14">
        <f t="shared" si="12"/>
        <v>-2.6481597554512675</v>
      </c>
      <c r="V97" s="14">
        <f t="shared" si="13"/>
        <v>12.776806527835905</v>
      </c>
      <c r="W97" s="15">
        <f t="shared" si="14"/>
        <v>73.12485908591951</v>
      </c>
      <c r="X97" s="15">
        <f t="shared" si="15"/>
        <v>30.462876634287227</v>
      </c>
      <c r="Y97" s="15">
        <f t="shared" si="17"/>
        <v>22.264190805833902</v>
      </c>
      <c r="Z97" s="14">
        <f t="shared" si="18"/>
        <v>-390.96929083909464</v>
      </c>
    </row>
    <row r="98" spans="1:26" s="1" customFormat="1" ht="12" x14ac:dyDescent="0.2">
      <c r="A98" s="24">
        <v>42965</v>
      </c>
      <c r="B98" s="12">
        <v>1103705.56916</v>
      </c>
      <c r="C98" s="12">
        <v>9524722.9203500003</v>
      </c>
      <c r="D98" s="16">
        <v>10628428.48951</v>
      </c>
      <c r="E98" s="12"/>
      <c r="F98" s="12">
        <v>3710</v>
      </c>
      <c r="G98" s="12">
        <v>210235.09922</v>
      </c>
      <c r="H98" s="12">
        <v>499002.48615000001</v>
      </c>
      <c r="I98" s="12">
        <v>3300989.4638200002</v>
      </c>
      <c r="J98" s="12">
        <v>1869.354</v>
      </c>
      <c r="K98" s="16">
        <v>3302858.81782</v>
      </c>
      <c r="L98" s="12"/>
      <c r="M98" s="12">
        <v>54340.54</v>
      </c>
      <c r="N98" s="12">
        <v>7626797.7476899996</v>
      </c>
      <c r="O98" s="16">
        <v>7681138.2876899997</v>
      </c>
      <c r="P98" s="12"/>
      <c r="Q98" s="12">
        <v>71333.602410000007</v>
      </c>
      <c r="R98" s="12">
        <v>440980</v>
      </c>
      <c r="S98" s="12">
        <v>250848.60253</v>
      </c>
      <c r="T98" s="13">
        <f t="shared" si="16"/>
        <v>4064151.6687600003</v>
      </c>
      <c r="U98" s="14">
        <f t="shared" si="12"/>
        <v>-0.49691207022869394</v>
      </c>
      <c r="V98" s="14">
        <f t="shared" si="13"/>
        <v>11.587797129529964</v>
      </c>
      <c r="W98" s="15">
        <f t="shared" si="14"/>
        <v>72.269746136704001</v>
      </c>
      <c r="X98" s="15">
        <f t="shared" si="15"/>
        <v>31.075702499949465</v>
      </c>
      <c r="Y98" s="15">
        <f t="shared" si="17"/>
        <v>22.839721308578984</v>
      </c>
      <c r="Z98" s="14">
        <f t="shared" si="18"/>
        <v>-382.69175858914764</v>
      </c>
    </row>
    <row r="99" spans="1:26" s="1" customFormat="1" ht="12" x14ac:dyDescent="0.2">
      <c r="A99" s="24">
        <v>42937</v>
      </c>
      <c r="B99" s="10">
        <v>1086937.1415200001</v>
      </c>
      <c r="C99" s="10">
        <v>9488677.4039500002</v>
      </c>
      <c r="D99" s="11">
        <v>10575614.545469999</v>
      </c>
      <c r="E99" s="10"/>
      <c r="F99" s="10">
        <v>8193</v>
      </c>
      <c r="G99" s="10">
        <v>209112.39332</v>
      </c>
      <c r="H99" s="10">
        <v>476381.85255000001</v>
      </c>
      <c r="I99" s="10">
        <v>3258839.2703100001</v>
      </c>
      <c r="J99" s="10">
        <v>2061.7033999999999</v>
      </c>
      <c r="K99" s="11">
        <v>3260900.97371</v>
      </c>
      <c r="L99" s="10"/>
      <c r="M99" s="10">
        <v>52429.49</v>
      </c>
      <c r="N99" s="12">
        <v>7607468.3621199997</v>
      </c>
      <c r="O99" s="11">
        <v>7659897.8521199999</v>
      </c>
      <c r="P99" s="10"/>
      <c r="Q99" s="10">
        <v>68097.109060000003</v>
      </c>
      <c r="R99" s="10">
        <v>430627</v>
      </c>
      <c r="S99" s="10">
        <v>246766.01139</v>
      </c>
      <c r="T99" s="13">
        <f t="shared" si="16"/>
        <v>4004329.3907599999</v>
      </c>
      <c r="U99" s="14">
        <f t="shared" si="12"/>
        <v>-0.22414665027814651</v>
      </c>
      <c r="V99" s="14">
        <f t="shared" si="13"/>
        <v>11.455096376946313</v>
      </c>
      <c r="W99" s="15">
        <f t="shared" si="14"/>
        <v>72.429813125149039</v>
      </c>
      <c r="X99" s="15">
        <f t="shared" si="15"/>
        <v>30.834151147337224</v>
      </c>
      <c r="Y99" s="15">
        <f t="shared" si="17"/>
        <v>23.458254250995374</v>
      </c>
      <c r="Z99" s="14">
        <f t="shared" si="18"/>
        <v>-373.10598401110491</v>
      </c>
    </row>
    <row r="100" spans="1:26" s="1" customFormat="1" ht="12" x14ac:dyDescent="0.2">
      <c r="A100" s="24">
        <v>42909</v>
      </c>
      <c r="B100" s="12">
        <v>1115087.7093799999</v>
      </c>
      <c r="C100" s="12">
        <v>9436821.9503400009</v>
      </c>
      <c r="D100" s="16">
        <v>10551909.65972</v>
      </c>
      <c r="E100" s="12"/>
      <c r="F100" s="12">
        <v>1540</v>
      </c>
      <c r="G100" s="12">
        <v>214075.10962999999</v>
      </c>
      <c r="H100" s="12">
        <v>483039.48851</v>
      </c>
      <c r="I100" s="12">
        <v>3217841.7782100001</v>
      </c>
      <c r="J100" s="12">
        <v>1816.5614</v>
      </c>
      <c r="K100" s="16">
        <v>3219658.3396100001</v>
      </c>
      <c r="L100" s="12"/>
      <c r="M100" s="12">
        <v>58340.66</v>
      </c>
      <c r="N100" s="12">
        <v>7577348.5810799999</v>
      </c>
      <c r="O100" s="16">
        <v>7635689.2410800001</v>
      </c>
      <c r="P100" s="12"/>
      <c r="Q100" s="12">
        <v>70239.379539999994</v>
      </c>
      <c r="R100" s="12">
        <v>429511</v>
      </c>
      <c r="S100" s="12">
        <v>250489.04537000001</v>
      </c>
      <c r="T100" s="13">
        <f t="shared" si="16"/>
        <v>3968081.2031200002</v>
      </c>
      <c r="U100" s="14">
        <f t="shared" si="12"/>
        <v>-0.49609782274604353</v>
      </c>
      <c r="V100" s="14">
        <f t="shared" si="13"/>
        <v>11.816347868466716</v>
      </c>
      <c r="W100" s="15">
        <f t="shared" si="14"/>
        <v>72.36310286305671</v>
      </c>
      <c r="X100" s="15">
        <f t="shared" si="15"/>
        <v>30.512565435434514</v>
      </c>
      <c r="Y100" s="15">
        <f t="shared" si="17"/>
        <v>24.134278074559909</v>
      </c>
      <c r="Z100" s="14">
        <f t="shared" si="18"/>
        <v>-364.12895446605927</v>
      </c>
    </row>
    <row r="101" spans="1:26" s="1" customFormat="1" ht="12" x14ac:dyDescent="0.2">
      <c r="A101" s="24">
        <v>42881</v>
      </c>
      <c r="B101" s="10">
        <v>1077635.7224399999</v>
      </c>
      <c r="C101" s="10">
        <v>9421926.1432000007</v>
      </c>
      <c r="D101" s="11">
        <v>10499561.86564</v>
      </c>
      <c r="E101" s="10"/>
      <c r="F101" s="10">
        <v>2285</v>
      </c>
      <c r="G101" s="10">
        <v>217951.60711000001</v>
      </c>
      <c r="H101" s="10">
        <v>503683.85236999998</v>
      </c>
      <c r="I101" s="10">
        <v>3210203.3350300002</v>
      </c>
      <c r="J101" s="10">
        <v>1768.1895999999999</v>
      </c>
      <c r="K101" s="11">
        <v>3211971.5246299999</v>
      </c>
      <c r="L101" s="10"/>
      <c r="M101" s="10">
        <v>60701.13</v>
      </c>
      <c r="N101" s="12">
        <v>7508757.2477299999</v>
      </c>
      <c r="O101" s="11">
        <v>7569458.3777299998</v>
      </c>
      <c r="P101" s="10"/>
      <c r="Q101" s="10">
        <v>64687.686459999997</v>
      </c>
      <c r="R101" s="10">
        <v>432950</v>
      </c>
      <c r="S101" s="10">
        <v>245382.16591000001</v>
      </c>
      <c r="T101" s="13">
        <f t="shared" si="16"/>
        <v>3953223.1874000002</v>
      </c>
      <c r="U101" s="14">
        <f t="shared" si="12"/>
        <v>0.61762966064534508</v>
      </c>
      <c r="V101" s="14">
        <f t="shared" si="13"/>
        <v>11.437530989539246</v>
      </c>
      <c r="W101" s="15">
        <f t="shared" si="14"/>
        <v>72.093088022093426</v>
      </c>
      <c r="X101" s="15">
        <f t="shared" si="15"/>
        <v>30.591481489729901</v>
      </c>
      <c r="Y101" s="15">
        <f t="shared" si="17"/>
        <v>24.851069063748263</v>
      </c>
      <c r="Z101" s="14">
        <f t="shared" si="18"/>
        <v>-350.96430708292775</v>
      </c>
    </row>
    <row r="102" spans="1:26" s="1" customFormat="1" ht="12" x14ac:dyDescent="0.2">
      <c r="A102" s="24">
        <v>42853</v>
      </c>
      <c r="B102" s="12">
        <v>1117715.7176900001</v>
      </c>
      <c r="C102" s="12">
        <v>9446694.5562699996</v>
      </c>
      <c r="D102" s="16">
        <v>10564410.27396</v>
      </c>
      <c r="E102" s="12"/>
      <c r="F102" s="12">
        <v>1825</v>
      </c>
      <c r="G102" s="12">
        <v>238982.20785000001</v>
      </c>
      <c r="H102" s="12">
        <v>462624.05919</v>
      </c>
      <c r="I102" s="12">
        <v>3181227.43585</v>
      </c>
      <c r="J102" s="12">
        <v>1850.6513</v>
      </c>
      <c r="K102" s="16">
        <v>3183078.08715</v>
      </c>
      <c r="L102" s="12"/>
      <c r="M102" s="12">
        <v>55681.89</v>
      </c>
      <c r="N102" s="12">
        <v>7526708.84987</v>
      </c>
      <c r="O102" s="16">
        <v>7582390.7398699997</v>
      </c>
      <c r="P102" s="12"/>
      <c r="Q102" s="12">
        <v>59943.29967</v>
      </c>
      <c r="R102" s="12">
        <v>448213</v>
      </c>
      <c r="S102" s="12">
        <v>249934.53227</v>
      </c>
      <c r="T102" s="13">
        <f t="shared" si="16"/>
        <v>3939318.26779</v>
      </c>
      <c r="U102" s="14">
        <f t="shared" si="12"/>
        <v>1.8292158360824735</v>
      </c>
      <c r="V102" s="14">
        <f t="shared" si="13"/>
        <v>11.831818114074039</v>
      </c>
      <c r="W102" s="15">
        <f t="shared" si="14"/>
        <v>71.772967380485781</v>
      </c>
      <c r="X102" s="15">
        <f t="shared" si="15"/>
        <v>30.130201351569092</v>
      </c>
      <c r="Y102" s="15">
        <f t="shared" si="17"/>
        <v>25.605459275510899</v>
      </c>
      <c r="Z102" s="14">
        <f t="shared" si="18"/>
        <v>-333.63042043490634</v>
      </c>
    </row>
    <row r="103" spans="1:26" s="1" customFormat="1" ht="12" x14ac:dyDescent="0.2">
      <c r="A103" s="24">
        <v>42825</v>
      </c>
      <c r="B103" s="10">
        <v>1281439.2802200001</v>
      </c>
      <c r="C103" s="10">
        <v>9476216.8594599999</v>
      </c>
      <c r="D103" s="11">
        <v>10757656.13968</v>
      </c>
      <c r="E103" s="10"/>
      <c r="F103" s="10">
        <v>21810</v>
      </c>
      <c r="G103" s="10">
        <v>233071.84176000001</v>
      </c>
      <c r="H103" s="10">
        <v>463714.37160000001</v>
      </c>
      <c r="I103" s="10">
        <v>3029748.3253000001</v>
      </c>
      <c r="J103" s="10">
        <v>1215.0032000000001</v>
      </c>
      <c r="K103" s="11">
        <v>3030963.3284999998</v>
      </c>
      <c r="L103" s="10"/>
      <c r="M103" s="10">
        <v>53927.44</v>
      </c>
      <c r="N103" s="12">
        <v>7787538.5620900001</v>
      </c>
      <c r="O103" s="11">
        <v>7841466.0020899996</v>
      </c>
      <c r="P103" s="10"/>
      <c r="Q103" s="10">
        <v>61359.843849999997</v>
      </c>
      <c r="R103" s="10">
        <v>508773</v>
      </c>
      <c r="S103" s="10">
        <v>243730.04668999999</v>
      </c>
      <c r="T103" s="13">
        <f t="shared" si="16"/>
        <v>3843611.2158400002</v>
      </c>
      <c r="U103" s="14">
        <f t="shared" si="12"/>
        <v>-2.9545489391284332</v>
      </c>
      <c r="V103" s="14">
        <f t="shared" si="13"/>
        <v>13.522688423289445</v>
      </c>
      <c r="W103" s="15">
        <f t="shared" si="14"/>
        <v>72.891956205650331</v>
      </c>
      <c r="X103" s="15">
        <f t="shared" si="15"/>
        <v>28.174941540659425</v>
      </c>
      <c r="Y103" s="15">
        <f t="shared" si="17"/>
        <v>26.537464659551997</v>
      </c>
      <c r="Z103" s="14">
        <f t="shared" si="18"/>
        <v>-331.22320629500564</v>
      </c>
    </row>
    <row r="104" spans="1:26" s="1" customFormat="1" ht="12" x14ac:dyDescent="0.2">
      <c r="A104" s="24">
        <v>42783</v>
      </c>
      <c r="B104" s="12">
        <v>1057648.2669200001</v>
      </c>
      <c r="C104" s="12">
        <v>9382167.6574099995</v>
      </c>
      <c r="D104" s="16">
        <v>10439815.92433</v>
      </c>
      <c r="E104" s="12"/>
      <c r="F104" s="12">
        <v>12835</v>
      </c>
      <c r="G104" s="12">
        <v>218632.07011</v>
      </c>
      <c r="H104" s="12">
        <v>480264.79835</v>
      </c>
      <c r="I104" s="12">
        <v>3325819.15545</v>
      </c>
      <c r="J104" s="12">
        <v>1876.7235000000001</v>
      </c>
      <c r="K104" s="16">
        <v>3327695.8789499998</v>
      </c>
      <c r="L104" s="12"/>
      <c r="M104" s="12">
        <v>105541.66</v>
      </c>
      <c r="N104" s="12">
        <v>7353307.93506</v>
      </c>
      <c r="O104" s="16">
        <v>7458849.5950600002</v>
      </c>
      <c r="P104" s="12"/>
      <c r="Q104" s="12">
        <v>57144.659760000002</v>
      </c>
      <c r="R104" s="12">
        <v>428235</v>
      </c>
      <c r="S104" s="12">
        <v>245877.63363999999</v>
      </c>
      <c r="T104" s="13">
        <f t="shared" si="16"/>
        <v>4057076.4488499998</v>
      </c>
      <c r="U104" s="14">
        <f t="shared" si="12"/>
        <v>5.072617753402496E-2</v>
      </c>
      <c r="V104" s="14">
        <f t="shared" si="13"/>
        <v>11.272962768733658</v>
      </c>
      <c r="W104" s="15">
        <f t="shared" si="14"/>
        <v>71.446179215450968</v>
      </c>
      <c r="X104" s="15">
        <f t="shared" si="15"/>
        <v>31.875043612548776</v>
      </c>
      <c r="Y104" s="15">
        <f t="shared" si="17"/>
        <v>27.515259387015739</v>
      </c>
      <c r="Z104" s="14">
        <f t="shared" si="18"/>
        <v>-318.75271797124543</v>
      </c>
    </row>
    <row r="105" spans="1:26" s="1" customFormat="1" ht="12" x14ac:dyDescent="0.2">
      <c r="A105" s="24">
        <v>42755</v>
      </c>
      <c r="B105" s="10">
        <v>1054549.30911</v>
      </c>
      <c r="C105" s="10">
        <v>9390562.3347800002</v>
      </c>
      <c r="D105" s="11">
        <v>10445111.643890001</v>
      </c>
      <c r="E105" s="10"/>
      <c r="F105" s="10">
        <v>15875</v>
      </c>
      <c r="G105" s="10">
        <v>229729.64339000001</v>
      </c>
      <c r="H105" s="10">
        <v>482063.12942000001</v>
      </c>
      <c r="I105" s="10">
        <v>3570241.4785699998</v>
      </c>
      <c r="J105" s="10">
        <v>2288.6547</v>
      </c>
      <c r="K105" s="11">
        <v>3572530.1332700001</v>
      </c>
      <c r="L105" s="10"/>
      <c r="M105" s="10">
        <v>104013.77</v>
      </c>
      <c r="N105" s="12">
        <v>7285514.3889699997</v>
      </c>
      <c r="O105" s="11">
        <v>7389528.1589700002</v>
      </c>
      <c r="P105" s="10"/>
      <c r="Q105" s="10">
        <v>63096.595820000002</v>
      </c>
      <c r="R105" s="10">
        <v>431998</v>
      </c>
      <c r="S105" s="10">
        <v>257925.29522</v>
      </c>
      <c r="T105" s="13">
        <f t="shared" si="16"/>
        <v>4323261.3696099995</v>
      </c>
      <c r="U105" s="14">
        <f t="shared" si="12"/>
        <v>0.23643346468627374</v>
      </c>
      <c r="V105" s="14">
        <f t="shared" si="13"/>
        <v>11.229884553390868</v>
      </c>
      <c r="W105" s="15">
        <f t="shared" si="14"/>
        <v>70.746282193092668</v>
      </c>
      <c r="X105" s="15">
        <f t="shared" si="15"/>
        <v>34.202890836114676</v>
      </c>
      <c r="Y105" s="15">
        <f t="shared" si="17"/>
        <v>28.603667313162955</v>
      </c>
      <c r="Z105" s="14">
        <f t="shared" si="18"/>
        <v>-305.22903292328186</v>
      </c>
    </row>
    <row r="106" spans="1:26" s="1" customFormat="1" ht="12" x14ac:dyDescent="0.2">
      <c r="A106" s="24">
        <v>42727</v>
      </c>
      <c r="B106" s="12">
        <v>1078528.79208</v>
      </c>
      <c r="C106" s="12">
        <v>9391278.5911599994</v>
      </c>
      <c r="D106" s="16">
        <v>10469807.383239999</v>
      </c>
      <c r="E106" s="12"/>
      <c r="F106" s="12">
        <v>12645</v>
      </c>
      <c r="G106" s="12">
        <v>238248.77025999999</v>
      </c>
      <c r="H106" s="12">
        <v>508618.15649000002</v>
      </c>
      <c r="I106" s="12">
        <v>3601862.8221200001</v>
      </c>
      <c r="J106" s="12">
        <v>3140.9167000000002</v>
      </c>
      <c r="K106" s="16">
        <v>3605003.7388200001</v>
      </c>
      <c r="L106" s="12"/>
      <c r="M106" s="12">
        <v>105064.41</v>
      </c>
      <c r="N106" s="12">
        <v>7212326.79837</v>
      </c>
      <c r="O106" s="16">
        <v>7317391.2083700001</v>
      </c>
      <c r="P106" s="12"/>
      <c r="Q106" s="12">
        <v>139794.63956000001</v>
      </c>
      <c r="R106" s="12">
        <v>431156</v>
      </c>
      <c r="S106" s="12">
        <v>273114.68435</v>
      </c>
      <c r="T106" s="13">
        <f t="shared" si="16"/>
        <v>4445928.1460300004</v>
      </c>
      <c r="U106" s="14">
        <f t="shared" si="12"/>
        <v>0.14188493919936518</v>
      </c>
      <c r="V106" s="14">
        <f t="shared" si="13"/>
        <v>11.484365857224361</v>
      </c>
      <c r="W106" s="15">
        <f t="shared" si="14"/>
        <v>69.890409064102116</v>
      </c>
      <c r="X106" s="15">
        <f t="shared" si="15"/>
        <v>34.432378809479026</v>
      </c>
      <c r="Y106" s="15">
        <f t="shared" si="17"/>
        <v>29.834780665554923</v>
      </c>
      <c r="Z106" s="14">
        <f t="shared" si="18"/>
        <v>-291.46794784742667</v>
      </c>
    </row>
    <row r="107" spans="1:26" s="1" customFormat="1" ht="12" x14ac:dyDescent="0.2">
      <c r="A107" s="24">
        <v>42699</v>
      </c>
      <c r="B107" s="10">
        <v>1077116.6322900001</v>
      </c>
      <c r="C107" s="10">
        <v>9407545.83079</v>
      </c>
      <c r="D107" s="11">
        <v>10484662.46308</v>
      </c>
      <c r="E107" s="10"/>
      <c r="F107" s="10">
        <v>3070</v>
      </c>
      <c r="G107" s="10">
        <v>243437.16521000001</v>
      </c>
      <c r="H107" s="10">
        <v>495948.90009000001</v>
      </c>
      <c r="I107" s="10">
        <v>3231991.4328700001</v>
      </c>
      <c r="J107" s="10">
        <v>2131.2238000000002</v>
      </c>
      <c r="K107" s="11">
        <v>3234122.6566699999</v>
      </c>
      <c r="L107" s="10"/>
      <c r="M107" s="10">
        <v>91780.38</v>
      </c>
      <c r="N107" s="12">
        <v>7169973.2418400003</v>
      </c>
      <c r="O107" s="11">
        <v>7261753.6218400002</v>
      </c>
      <c r="P107" s="10"/>
      <c r="Q107" s="10">
        <v>266273.03104999999</v>
      </c>
      <c r="R107" s="10">
        <v>417289</v>
      </c>
      <c r="S107" s="10">
        <v>268126.99699000001</v>
      </c>
      <c r="T107" s="13">
        <f t="shared" si="16"/>
        <v>4183680.4609099999</v>
      </c>
      <c r="U107" s="14">
        <f t="shared" si="12"/>
        <v>-5.2731625645255713</v>
      </c>
      <c r="V107" s="14">
        <f t="shared" si="13"/>
        <v>11.449496517622057</v>
      </c>
      <c r="W107" s="15">
        <f t="shared" si="14"/>
        <v>69.260728682597659</v>
      </c>
      <c r="X107" s="15">
        <f t="shared" si="15"/>
        <v>30.846225789894778</v>
      </c>
      <c r="Y107" s="15">
        <f t="shared" si="17"/>
        <v>31.400722191697323</v>
      </c>
      <c r="Z107" s="14">
        <f t="shared" si="18"/>
        <v>-292.58067299948414</v>
      </c>
    </row>
    <row r="108" spans="1:26" s="1" customFormat="1" ht="12" x14ac:dyDescent="0.2">
      <c r="A108" s="24">
        <v>42671</v>
      </c>
      <c r="B108" s="12">
        <v>934270.7929</v>
      </c>
      <c r="C108" s="12">
        <v>8997518.3741599992</v>
      </c>
      <c r="D108" s="16">
        <v>9931789.1670600008</v>
      </c>
      <c r="E108" s="12"/>
      <c r="F108" s="12">
        <v>52512</v>
      </c>
      <c r="G108" s="12">
        <v>224750.63188</v>
      </c>
      <c r="H108" s="12">
        <v>482037.20783999999</v>
      </c>
      <c r="I108" s="12">
        <v>2881394.7505000001</v>
      </c>
      <c r="J108" s="12">
        <v>1787.4263000000001</v>
      </c>
      <c r="K108" s="16">
        <v>2883182.1768</v>
      </c>
      <c r="L108" s="12"/>
      <c r="M108" s="12">
        <v>102228.87</v>
      </c>
      <c r="N108" s="12">
        <v>7282185.0574599998</v>
      </c>
      <c r="O108" s="16">
        <v>7384413.9274599999</v>
      </c>
      <c r="P108" s="12"/>
      <c r="Q108" s="12">
        <v>65506.095869999997</v>
      </c>
      <c r="R108" s="12">
        <v>418413</v>
      </c>
      <c r="S108" s="12">
        <v>261554.76238</v>
      </c>
      <c r="T108" s="13">
        <f t="shared" si="16"/>
        <v>3626868.6087500001</v>
      </c>
      <c r="U108" s="14">
        <f t="shared" si="12"/>
        <v>1.6296899734523096</v>
      </c>
      <c r="V108" s="14">
        <f t="shared" si="13"/>
        <v>10.38364973594425</v>
      </c>
      <c r="W108" s="15">
        <f t="shared" si="14"/>
        <v>74.35129565528149</v>
      </c>
      <c r="X108" s="15">
        <f t="shared" si="15"/>
        <v>29.029836702156626</v>
      </c>
      <c r="Y108" s="15">
        <f t="shared" si="17"/>
        <v>32.985316263027642</v>
      </c>
      <c r="Z108" s="14">
        <f t="shared" si="18"/>
        <v>-272.47334575854285</v>
      </c>
    </row>
    <row r="109" spans="1:26" s="1" customFormat="1" ht="12" x14ac:dyDescent="0.2">
      <c r="A109" s="24">
        <v>42643</v>
      </c>
      <c r="B109" s="10">
        <v>1042784.1934099999</v>
      </c>
      <c r="C109" s="10">
        <v>9050862.3458900005</v>
      </c>
      <c r="D109" s="11">
        <v>10093646.5393</v>
      </c>
      <c r="E109" s="10"/>
      <c r="F109" s="10">
        <v>34367</v>
      </c>
      <c r="G109" s="10">
        <v>223728.91832999999</v>
      </c>
      <c r="H109" s="10">
        <v>458150.40463</v>
      </c>
      <c r="I109" s="10">
        <v>2855397.5830899999</v>
      </c>
      <c r="J109" s="10">
        <v>1432.6835000000001</v>
      </c>
      <c r="K109" s="11">
        <v>2856830.2665900001</v>
      </c>
      <c r="L109" s="10"/>
      <c r="M109" s="10">
        <v>85462.5</v>
      </c>
      <c r="N109" s="12">
        <v>7409405.9119800003</v>
      </c>
      <c r="O109" s="11">
        <v>7494868.4119800003</v>
      </c>
      <c r="P109" s="10"/>
      <c r="Q109" s="10">
        <v>61950.081910000001</v>
      </c>
      <c r="R109" s="10">
        <v>412406</v>
      </c>
      <c r="S109" s="10">
        <v>260676.58330999999</v>
      </c>
      <c r="T109" s="13">
        <f t="shared" si="16"/>
        <v>3590430.2483099997</v>
      </c>
      <c r="U109" s="14">
        <f t="shared" si="12"/>
        <v>-4.1154203249800814</v>
      </c>
      <c r="V109" s="14">
        <f t="shared" si="13"/>
        <v>11.52137943942467</v>
      </c>
      <c r="W109" s="15">
        <f t="shared" si="14"/>
        <v>74.253327405496535</v>
      </c>
      <c r="X109" s="15">
        <f t="shared" si="15"/>
        <v>28.303252501133478</v>
      </c>
      <c r="Y109" s="15">
        <f t="shared" si="17"/>
        <v>35.116988569448736</v>
      </c>
      <c r="Z109" s="14">
        <f t="shared" si="18"/>
        <v>-267.97255987327986</v>
      </c>
    </row>
    <row r="110" spans="1:26" s="1" customFormat="1" ht="12" x14ac:dyDescent="0.2">
      <c r="A110" s="24">
        <v>42601</v>
      </c>
      <c r="B110" s="12">
        <v>890553.50277000002</v>
      </c>
      <c r="C110" s="12">
        <v>8787697.0553200003</v>
      </c>
      <c r="D110" s="16">
        <v>9678250.5580899995</v>
      </c>
      <c r="E110" s="12"/>
      <c r="F110" s="12">
        <v>10214</v>
      </c>
      <c r="G110" s="12">
        <v>208777.00203</v>
      </c>
      <c r="H110" s="12">
        <v>477152.21331999998</v>
      </c>
      <c r="I110" s="12">
        <v>2808064.53082</v>
      </c>
      <c r="J110" s="12">
        <v>1661.2987000000001</v>
      </c>
      <c r="K110" s="16">
        <v>2809725.8295200001</v>
      </c>
      <c r="L110" s="12"/>
      <c r="M110" s="12">
        <v>103516.87</v>
      </c>
      <c r="N110" s="12">
        <v>7144202.0197700001</v>
      </c>
      <c r="O110" s="16">
        <v>7247718.8897700002</v>
      </c>
      <c r="P110" s="12"/>
      <c r="Q110" s="12">
        <v>61730.71213</v>
      </c>
      <c r="R110" s="12">
        <v>388797</v>
      </c>
      <c r="S110" s="12">
        <v>223879.09354</v>
      </c>
      <c r="T110" s="13">
        <f t="shared" si="16"/>
        <v>3482471.3364900001</v>
      </c>
      <c r="U110" s="14">
        <f t="shared" si="12"/>
        <v>-0.58216738698608717</v>
      </c>
      <c r="V110" s="14">
        <f t="shared" si="13"/>
        <v>10.13409425886918</v>
      </c>
      <c r="W110" s="15">
        <f t="shared" si="14"/>
        <v>74.886663103712152</v>
      </c>
      <c r="X110" s="15">
        <f t="shared" si="15"/>
        <v>29.031340040802778</v>
      </c>
      <c r="Y110" s="15">
        <f t="shared" si="17"/>
        <v>37.534882727514834</v>
      </c>
      <c r="Z110" s="14">
        <f t="shared" si="18"/>
        <v>-252.01973548236597</v>
      </c>
    </row>
    <row r="111" spans="1:26" s="1" customFormat="1" ht="12" x14ac:dyDescent="0.2">
      <c r="A111" s="24">
        <v>42573</v>
      </c>
      <c r="B111" s="10">
        <v>867184.64925999998</v>
      </c>
      <c r="C111" s="10">
        <v>8754722.2904499993</v>
      </c>
      <c r="D111" s="11">
        <v>9621906.9397100005</v>
      </c>
      <c r="E111" s="10"/>
      <c r="F111" s="10">
        <v>29968</v>
      </c>
      <c r="G111" s="10">
        <v>214225.87465000001</v>
      </c>
      <c r="H111" s="10">
        <v>459808.23611</v>
      </c>
      <c r="I111" s="10">
        <v>2791197.28663</v>
      </c>
      <c r="J111" s="10">
        <v>1864.2787000000001</v>
      </c>
      <c r="K111" s="11">
        <v>2793061.5653300001</v>
      </c>
      <c r="L111" s="10"/>
      <c r="M111" s="10">
        <v>105460.85</v>
      </c>
      <c r="N111" s="12">
        <v>7135086.7766199997</v>
      </c>
      <c r="O111" s="11">
        <v>7240547.6266200002</v>
      </c>
      <c r="P111" s="10"/>
      <c r="Q111" s="10">
        <v>64712.604010000003</v>
      </c>
      <c r="R111" s="10">
        <v>386742</v>
      </c>
      <c r="S111" s="10">
        <v>234922.58304999999</v>
      </c>
      <c r="T111" s="13">
        <f t="shared" si="16"/>
        <v>3477574.4736899999</v>
      </c>
      <c r="U111" s="14">
        <f t="shared" si="12"/>
        <v>-0.81464614999033624</v>
      </c>
      <c r="V111" s="14">
        <f t="shared" si="13"/>
        <v>9.9053358917616343</v>
      </c>
      <c r="W111" s="15">
        <f t="shared" si="14"/>
        <v>75.250651164978194</v>
      </c>
      <c r="X111" s="15">
        <f t="shared" si="15"/>
        <v>29.028149854608564</v>
      </c>
      <c r="Y111" s="15">
        <f t="shared" si="17"/>
        <v>40.551080131184825</v>
      </c>
      <c r="Z111" s="14">
        <f t="shared" si="18"/>
        <v>-235.21337158118749</v>
      </c>
    </row>
    <row r="112" spans="1:26" s="1" customFormat="1" ht="12" x14ac:dyDescent="0.2">
      <c r="A112" s="24">
        <v>42545</v>
      </c>
      <c r="B112" s="12">
        <v>884710.83533999999</v>
      </c>
      <c r="C112" s="12">
        <v>8658811.6099299993</v>
      </c>
      <c r="D112" s="16">
        <v>9543522.44527</v>
      </c>
      <c r="E112" s="12"/>
      <c r="F112" s="12">
        <v>82743</v>
      </c>
      <c r="G112" s="12">
        <v>211312.57243999999</v>
      </c>
      <c r="H112" s="12">
        <v>481562.03031</v>
      </c>
      <c r="I112" s="12">
        <v>2744579.5012500002</v>
      </c>
      <c r="J112" s="12">
        <v>1683.8941</v>
      </c>
      <c r="K112" s="16">
        <v>2746263.3953499999</v>
      </c>
      <c r="L112" s="12"/>
      <c r="M112" s="12">
        <v>100382.86</v>
      </c>
      <c r="N112" s="12">
        <v>7127577.5005200002</v>
      </c>
      <c r="O112" s="16">
        <v>7227960.3605199996</v>
      </c>
      <c r="P112" s="12"/>
      <c r="Q112" s="12">
        <v>61905.364029999997</v>
      </c>
      <c r="R112" s="12">
        <v>394021</v>
      </c>
      <c r="S112" s="12">
        <v>238777.64773999999</v>
      </c>
      <c r="T112" s="13">
        <f t="shared" si="16"/>
        <v>3439283.5130200004</v>
      </c>
      <c r="U112" s="14">
        <f t="shared" si="12"/>
        <v>-0.30843742296209492</v>
      </c>
      <c r="V112" s="14">
        <f t="shared" si="13"/>
        <v>10.217462571023095</v>
      </c>
      <c r="W112" s="15">
        <f t="shared" si="14"/>
        <v>75.73681941830975</v>
      </c>
      <c r="X112" s="15">
        <f t="shared" si="15"/>
        <v>28.776203032991393</v>
      </c>
      <c r="Y112" s="15">
        <f t="shared" si="17"/>
        <v>44.378857666769171</v>
      </c>
      <c r="Z112" s="14">
        <f t="shared" si="18"/>
        <v>-215.15495784286864</v>
      </c>
    </row>
    <row r="113" spans="1:26" s="1" customFormat="1" ht="12" x14ac:dyDescent="0.2">
      <c r="A113" s="24">
        <v>42517</v>
      </c>
      <c r="B113" s="10">
        <v>875575.41922000004</v>
      </c>
      <c r="C113" s="10">
        <v>8638511.2313599996</v>
      </c>
      <c r="D113" s="11">
        <v>9514086.6505800001</v>
      </c>
      <c r="E113" s="10"/>
      <c r="F113" s="10">
        <v>95740</v>
      </c>
      <c r="G113" s="10">
        <v>215328.38496</v>
      </c>
      <c r="H113" s="10">
        <v>479563.10239000001</v>
      </c>
      <c r="I113" s="10">
        <v>2730555.8755100002</v>
      </c>
      <c r="J113" s="10">
        <v>1612.8725999999999</v>
      </c>
      <c r="K113" s="11">
        <v>2732168.74811</v>
      </c>
      <c r="L113" s="10"/>
      <c r="M113" s="10">
        <v>110661.31</v>
      </c>
      <c r="N113" s="12">
        <v>7115780.1474200003</v>
      </c>
      <c r="O113" s="11">
        <v>7226441.4574199999</v>
      </c>
      <c r="P113" s="10"/>
      <c r="Q113" s="10">
        <v>63880.900800000003</v>
      </c>
      <c r="R113" s="10">
        <v>383948</v>
      </c>
      <c r="S113" s="10">
        <v>248960.54769000001</v>
      </c>
      <c r="T113" s="13">
        <f t="shared" si="16"/>
        <v>3427345.324</v>
      </c>
      <c r="U113" s="14">
        <f t="shared" si="12"/>
        <v>0.11811625101516543</v>
      </c>
      <c r="V113" s="14">
        <f t="shared" si="13"/>
        <v>10.135721257633351</v>
      </c>
      <c r="W113" s="15">
        <f t="shared" si="14"/>
        <v>75.955178072500104</v>
      </c>
      <c r="X113" s="15">
        <f t="shared" si="15"/>
        <v>28.717089180004901</v>
      </c>
      <c r="Y113" s="15">
        <f t="shared" si="17"/>
        <v>49.46382541275959</v>
      </c>
      <c r="Z113" s="14">
        <f t="shared" si="18"/>
        <v>-191.62661087506655</v>
      </c>
    </row>
    <row r="114" spans="1:26" s="1" customFormat="1" ht="12" x14ac:dyDescent="0.2">
      <c r="A114" s="24">
        <v>42489</v>
      </c>
      <c r="B114" s="12">
        <v>903763.30371000001</v>
      </c>
      <c r="C114" s="12">
        <v>8621561.0293400008</v>
      </c>
      <c r="D114" s="16">
        <v>9525324.3330499995</v>
      </c>
      <c r="E114" s="12"/>
      <c r="F114" s="12">
        <v>88650</v>
      </c>
      <c r="G114" s="12">
        <v>225997.56391</v>
      </c>
      <c r="H114" s="12">
        <v>480662.47966999997</v>
      </c>
      <c r="I114" s="12">
        <v>2691026.4537300002</v>
      </c>
      <c r="J114" s="12">
        <v>1546.0106000000001</v>
      </c>
      <c r="K114" s="16">
        <v>2692572.4643299999</v>
      </c>
      <c r="L114" s="12"/>
      <c r="M114" s="12">
        <v>104069.65</v>
      </c>
      <c r="N114" s="12">
        <v>7128225.0128899999</v>
      </c>
      <c r="O114" s="16">
        <v>7232294.6628900003</v>
      </c>
      <c r="P114" s="12"/>
      <c r="Q114" s="12">
        <v>62072.643100000001</v>
      </c>
      <c r="R114" s="12">
        <v>398272</v>
      </c>
      <c r="S114" s="12">
        <v>257335.18364</v>
      </c>
      <c r="T114" s="13">
        <f t="shared" si="16"/>
        <v>3408706.2804700001</v>
      </c>
      <c r="U114" s="14">
        <f t="shared" si="12"/>
        <v>-2.0790301322641498</v>
      </c>
      <c r="V114" s="14">
        <f t="shared" si="13"/>
        <v>10.482594748612307</v>
      </c>
      <c r="W114" s="15">
        <f t="shared" si="14"/>
        <v>75.92701739085274</v>
      </c>
      <c r="X114" s="15">
        <f t="shared" si="15"/>
        <v>28.267514786741554</v>
      </c>
      <c r="Y114" s="15">
        <f t="shared" si="17"/>
        <v>57.397589080805496</v>
      </c>
      <c r="Z114" s="14">
        <f t="shared" si="18"/>
        <v>-170.19905403604463</v>
      </c>
    </row>
    <row r="115" spans="1:26" s="1" customFormat="1" ht="12" x14ac:dyDescent="0.2">
      <c r="A115" s="24">
        <v>42447</v>
      </c>
      <c r="B115" s="10">
        <v>888996.18411999999</v>
      </c>
      <c r="C115" s="10">
        <v>8438293.7858499996</v>
      </c>
      <c r="D115" s="11">
        <v>9327289.9699700009</v>
      </c>
      <c r="E115" s="10"/>
      <c r="F115" s="10">
        <v>232467</v>
      </c>
      <c r="G115" s="10">
        <v>225025.96707000001</v>
      </c>
      <c r="H115" s="10">
        <v>504039.96156000003</v>
      </c>
      <c r="I115" s="10">
        <v>2623933.0312199998</v>
      </c>
      <c r="J115" s="10">
        <v>1575.741</v>
      </c>
      <c r="K115" s="11">
        <v>2625508.7722200002</v>
      </c>
      <c r="L115" s="10"/>
      <c r="M115" s="10">
        <v>105253.93</v>
      </c>
      <c r="N115" s="12">
        <v>7144361.0054700002</v>
      </c>
      <c r="O115" s="11">
        <v>7249614.9354699999</v>
      </c>
      <c r="P115" s="10"/>
      <c r="Q115" s="10">
        <v>57438.483690000001</v>
      </c>
      <c r="R115" s="10">
        <v>387442</v>
      </c>
      <c r="S115" s="10">
        <v>260399.10668999999</v>
      </c>
      <c r="T115" s="13">
        <f t="shared" si="16"/>
        <v>3329212.6215999997</v>
      </c>
      <c r="U115" s="14">
        <f t="shared" si="12"/>
        <v>-0.29891407246655405</v>
      </c>
      <c r="V115" s="14">
        <f t="shared" si="13"/>
        <v>10.535259931465522</v>
      </c>
      <c r="W115" s="15">
        <f t="shared" si="14"/>
        <v>77.724772777631529</v>
      </c>
      <c r="X115" s="15">
        <f t="shared" si="15"/>
        <v>28.148677490171824</v>
      </c>
      <c r="Y115" s="15">
        <f t="shared" si="17"/>
        <v>70.093736784855395</v>
      </c>
      <c r="Z115" s="14">
        <f t="shared" si="18"/>
        <v>-138.97493559928674</v>
      </c>
    </row>
    <row r="116" spans="1:26" s="1" customFormat="1" ht="12" x14ac:dyDescent="0.2">
      <c r="A116" s="24">
        <v>42419</v>
      </c>
      <c r="B116" s="12">
        <v>840335.91595000005</v>
      </c>
      <c r="C116" s="12">
        <v>8459073.4717200007</v>
      </c>
      <c r="D116" s="16">
        <v>9299409.3876699992</v>
      </c>
      <c r="E116" s="12"/>
      <c r="F116" s="12">
        <v>183945</v>
      </c>
      <c r="G116" s="12">
        <v>222504.39840000001</v>
      </c>
      <c r="H116" s="12">
        <v>473409.39364999998</v>
      </c>
      <c r="I116" s="12">
        <v>2702653.3913199999</v>
      </c>
      <c r="J116" s="12">
        <v>1825.4680000000001</v>
      </c>
      <c r="K116" s="16">
        <v>2704478.8593199998</v>
      </c>
      <c r="L116" s="12"/>
      <c r="M116" s="12">
        <v>107782.03</v>
      </c>
      <c r="N116" s="12">
        <v>7036996.4654200003</v>
      </c>
      <c r="O116" s="16">
        <v>7144778.4954199996</v>
      </c>
      <c r="P116" s="12"/>
      <c r="Q116" s="12">
        <v>57507.891779999998</v>
      </c>
      <c r="R116" s="12">
        <v>387106</v>
      </c>
      <c r="S116" s="12">
        <v>265606.81339999998</v>
      </c>
      <c r="T116" s="13">
        <f t="shared" si="16"/>
        <v>3412874.0965</v>
      </c>
      <c r="U116" s="14">
        <f t="shared" si="12"/>
        <v>-0.87248680144759383</v>
      </c>
      <c r="V116" s="14">
        <f t="shared" si="13"/>
        <v>9.9341366257117141</v>
      </c>
      <c r="W116" s="15">
        <f t="shared" si="14"/>
        <v>76.830454468357914</v>
      </c>
      <c r="X116" s="15">
        <f t="shared" si="15"/>
        <v>29.082264760876569</v>
      </c>
      <c r="Y116" s="15" t="e">
        <f t="shared" si="17"/>
        <v>#DIV/0!</v>
      </c>
      <c r="Z116" s="14" t="e">
        <f t="shared" si="18"/>
        <v>#DIV/0!</v>
      </c>
    </row>
    <row r="117" spans="1:26" s="1" customFormat="1" ht="12" x14ac:dyDescent="0.2">
      <c r="A117" s="24">
        <v>42391</v>
      </c>
      <c r="B117" s="10">
        <v>812124.19998000003</v>
      </c>
      <c r="C117" s="10">
        <v>8406149.0681699999</v>
      </c>
      <c r="D117" s="11">
        <v>9218273.2681499999</v>
      </c>
      <c r="E117" s="10"/>
      <c r="F117" s="10">
        <v>161941</v>
      </c>
      <c r="G117" s="10">
        <v>228489.87396</v>
      </c>
      <c r="H117" s="10">
        <v>452967.64045000001</v>
      </c>
      <c r="I117" s="10">
        <v>2697553.41738</v>
      </c>
      <c r="J117" s="10">
        <v>1863.0875000000001</v>
      </c>
      <c r="K117" s="11">
        <v>2699416.5048799999</v>
      </c>
      <c r="L117" s="10"/>
      <c r="M117" s="10">
        <v>102187.42</v>
      </c>
      <c r="N117" s="12">
        <v>6953289.9867500002</v>
      </c>
      <c r="O117" s="11">
        <v>7055477.4067500001</v>
      </c>
      <c r="P117" s="10"/>
      <c r="Q117" s="10">
        <v>61285.641949999997</v>
      </c>
      <c r="R117" s="10">
        <v>380788</v>
      </c>
      <c r="S117" s="10">
        <v>264063.04407</v>
      </c>
      <c r="T117" s="13">
        <f t="shared" si="16"/>
        <v>3403690.1033999999</v>
      </c>
      <c r="U117" s="14">
        <f>((D119 - D117) / D117) * 100</f>
        <v>-100</v>
      </c>
      <c r="V117" s="14">
        <f t="shared" si="13"/>
        <v>9.661073023973838</v>
      </c>
      <c r="W117" s="15">
        <f t="shared" si="14"/>
        <v>76.537950237679951</v>
      </c>
      <c r="X117" s="15">
        <f t="shared" si="15"/>
        <v>29.283320491341229</v>
      </c>
      <c r="Y117" s="15" t="e">
        <f>STDEV(U119:U210)</f>
        <v>#DIV/0!</v>
      </c>
      <c r="Z117" s="14" t="e">
        <f>(STDEV(U119:U210) / AVERAGE(U119:U210)) * 100</f>
        <v>#DIV/0!</v>
      </c>
    </row>
    <row r="118" spans="1:26" s="1" customFormat="1" ht="12" x14ac:dyDescent="0.2">
      <c r="A118" s="17"/>
      <c r="B118" s="18"/>
      <c r="C118" s="18"/>
      <c r="D118" s="19"/>
      <c r="E118" s="18"/>
      <c r="F118" s="18"/>
      <c r="G118" s="18"/>
      <c r="H118" s="18"/>
      <c r="I118" s="18"/>
      <c r="J118" s="18"/>
      <c r="K118" s="19"/>
      <c r="L118" s="18"/>
      <c r="M118" s="18"/>
      <c r="N118" s="20"/>
      <c r="O118" s="19"/>
      <c r="P118" s="18"/>
      <c r="Q118" s="18"/>
      <c r="R118" s="18"/>
      <c r="S118" s="18"/>
      <c r="T118" s="21"/>
      <c r="U118" s="22"/>
      <c r="V118" s="22"/>
      <c r="W118" s="23"/>
      <c r="X118" s="23"/>
      <c r="Y118" s="23"/>
      <c r="Z118" s="22"/>
    </row>
    <row r="119" spans="1:26" s="1" customFormat="1" ht="14.4" customHeight="1" x14ac:dyDescent="0.2"/>
    <row r="120" spans="1:26" s="1" customFormat="1" ht="59.4" customHeight="1" x14ac:dyDescent="0.2">
      <c r="A120" s="25" t="s">
        <v>20</v>
      </c>
      <c r="B120" s="25"/>
      <c r="C120" s="25"/>
      <c r="D120" s="25"/>
      <c r="F120" s="26" t="s">
        <v>18</v>
      </c>
      <c r="G120" s="26"/>
      <c r="H120" s="26"/>
      <c r="I120" s="26"/>
      <c r="J120" s="26"/>
    </row>
    <row r="121" spans="1:26" x14ac:dyDescent="0.25">
      <c r="F121" s="1"/>
      <c r="G121" s="1"/>
      <c r="H121" s="1"/>
      <c r="I121" s="1"/>
      <c r="J121" s="1"/>
    </row>
    <row r="122" spans="1:26" x14ac:dyDescent="0.25">
      <c r="F122" s="27" t="s">
        <v>19</v>
      </c>
      <c r="G122" s="27"/>
      <c r="H122" s="1"/>
      <c r="I122" s="1"/>
      <c r="J122" s="1"/>
    </row>
  </sheetData>
  <mergeCells count="3">
    <mergeCell ref="A120:D120"/>
    <mergeCell ref="F120:J120"/>
    <mergeCell ref="F122:G12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Scheduled Commercial banks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Vishwajeet Mahore</cp:lastModifiedBy>
  <dcterms:created xsi:type="dcterms:W3CDTF">2025-12-10T18:41:34Z</dcterms:created>
  <dcterms:modified xsi:type="dcterms:W3CDTF">2025-12-11T19:35:03Z</dcterms:modified>
</cp:coreProperties>
</file>